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etien\bin\hlebuhanec.0325\inst\data\"/>
    </mc:Choice>
  </mc:AlternateContent>
  <xr:revisionPtr revIDLastSave="0" documentId="13_ncr:1_{9A6063CC-D5A3-413D-BF7C-88DA663E42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1" sheetId="1" r:id="rId1"/>
    <sheet name="Feuil2" sheetId="2" r:id="rId2"/>
  </sheets>
  <definedNames>
    <definedName name="_xlnm._FilterDatabase" localSheetId="0" hidden="1">Feuil1!$A$2:$AK$75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51" i="1" l="1"/>
  <c r="AI47" i="1"/>
  <c r="AI45" i="1"/>
  <c r="AI42" i="1"/>
  <c r="AI40" i="1"/>
  <c r="AI39" i="1"/>
  <c r="AI37" i="1"/>
  <c r="AI36" i="1"/>
  <c r="AI35" i="1"/>
  <c r="AI34" i="1"/>
  <c r="AI33" i="1"/>
  <c r="AI32" i="1"/>
  <c r="AI31" i="1"/>
  <c r="AI30" i="1"/>
  <c r="AI29" i="1"/>
  <c r="AI28" i="1"/>
  <c r="AI27" i="1"/>
  <c r="AI26" i="1"/>
  <c r="AI25" i="1"/>
  <c r="AI24" i="1"/>
  <c r="AI23" i="1"/>
  <c r="AI22" i="1"/>
  <c r="AI21" i="1"/>
  <c r="AI19" i="1"/>
  <c r="AI17" i="1"/>
  <c r="AI16" i="1"/>
  <c r="AI15" i="1"/>
  <c r="AI14" i="1"/>
  <c r="AI13" i="1"/>
  <c r="AI12" i="1"/>
  <c r="AI10" i="1"/>
  <c r="AI8" i="1"/>
  <c r="AI4" i="1"/>
  <c r="AI3" i="1"/>
  <c r="AM67" i="1" l="1"/>
  <c r="AL56" i="1"/>
  <c r="AM75" i="1"/>
  <c r="W3" i="1"/>
  <c r="AK3" i="1"/>
  <c r="W4" i="1"/>
  <c r="Q3" i="1"/>
  <c r="AB4" i="1"/>
  <c r="W6" i="1"/>
  <c r="W54" i="1"/>
  <c r="Q54" i="1"/>
  <c r="W53" i="1"/>
  <c r="W52" i="1"/>
  <c r="W51" i="1"/>
  <c r="AM68" i="1"/>
  <c r="AL64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8" i="1"/>
  <c r="AB10" i="1"/>
  <c r="AB11" i="1"/>
  <c r="AB12" i="1"/>
  <c r="AB13" i="1"/>
  <c r="AB14" i="1"/>
  <c r="AB15" i="1"/>
  <c r="AB16" i="1"/>
  <c r="AB17" i="1"/>
  <c r="AB18" i="1"/>
  <c r="AB19" i="1"/>
  <c r="AB5" i="1"/>
  <c r="AB6" i="1"/>
  <c r="AB7" i="1"/>
  <c r="AB3" i="1"/>
  <c r="W5" i="1" l="1"/>
  <c r="W7" i="1"/>
  <c r="W8" i="1"/>
  <c r="W10" i="1"/>
  <c r="W11" i="1"/>
  <c r="W12" i="1"/>
  <c r="W13" i="1"/>
  <c r="W14" i="1"/>
  <c r="W15" i="1"/>
  <c r="W16" i="1"/>
  <c r="W17" i="1"/>
  <c r="W18" i="1"/>
  <c r="W19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9" i="1"/>
  <c r="W40" i="1"/>
  <c r="W41" i="1"/>
  <c r="W42" i="1"/>
  <c r="W43" i="1"/>
  <c r="W44" i="1"/>
  <c r="W45" i="1"/>
  <c r="W46" i="1"/>
  <c r="W47" i="1"/>
  <c r="W48" i="1"/>
  <c r="W49" i="1"/>
  <c r="W50" i="1"/>
  <c r="AM69" i="1"/>
  <c r="AM70" i="1"/>
  <c r="AM71" i="1"/>
  <c r="AM72" i="1"/>
  <c r="AM73" i="1"/>
  <c r="AM74" i="1"/>
  <c r="AL57" i="1"/>
  <c r="AL58" i="1"/>
  <c r="AL59" i="1"/>
  <c r="AL60" i="1"/>
  <c r="AL61" i="1"/>
  <c r="AL62" i="1"/>
  <c r="AL63" i="1"/>
  <c r="AL65" i="1"/>
  <c r="AK4" i="1"/>
  <c r="AK5" i="1"/>
  <c r="AK6" i="1"/>
  <c r="AK7" i="1"/>
  <c r="AK8" i="1"/>
  <c r="AK10" i="1"/>
  <c r="AK11" i="1"/>
  <c r="AK12" i="1"/>
  <c r="AK13" i="1"/>
  <c r="AK14" i="1"/>
  <c r="AK15" i="1"/>
  <c r="AK16" i="1"/>
  <c r="AK17" i="1"/>
  <c r="AK18" i="1"/>
  <c r="AK19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Q4" i="1"/>
  <c r="Q5" i="1"/>
  <c r="Q6" i="1"/>
  <c r="Q7" i="1"/>
  <c r="Q8" i="1"/>
  <c r="Q10" i="1"/>
  <c r="Q11" i="1"/>
  <c r="Q12" i="1"/>
  <c r="Q13" i="1"/>
  <c r="Q14" i="1"/>
  <c r="Q15" i="1"/>
  <c r="Q16" i="1"/>
  <c r="Q17" i="1"/>
  <c r="Q18" i="1"/>
  <c r="Q19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AL6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Nadine</author>
    <author>dmi</author>
    <author>SANSEN Pierre-yves</author>
  </authors>
  <commentList>
    <comment ref="C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1 : M
2 : F</t>
        </r>
      </text>
    </comment>
    <comment ref="D2" authorId="0" shapeId="0" xr:uid="{00000000-0006-0000-0000-000002000000}">
      <text>
        <r>
          <rPr>
            <b/>
            <sz val="9"/>
            <color indexed="81"/>
            <rFont val="Tahoma"/>
            <charset val="1"/>
          </rPr>
          <t xml:space="preserve">1 : MDS
2 : AML </t>
        </r>
      </text>
    </comment>
    <comment ref="E2" authorId="0" shapeId="0" xr:uid="{00000000-0006-0000-0000-000003000000}">
      <text>
        <r>
          <rPr>
            <b/>
            <sz val="9"/>
            <color indexed="81"/>
            <rFont val="Tahoma"/>
            <charset val="1"/>
          </rPr>
          <t>1 : RC1 
2 : RC2
3 : PR
4 : never treated</t>
        </r>
      </text>
    </comment>
    <comment ref="F2" authorId="0" shapeId="0" xr:uid="{00000000-0006-0000-0000-000004000000}">
      <text>
        <r>
          <rPr>
            <b/>
            <sz val="9"/>
            <color indexed="81"/>
            <rFont val="Tahoma"/>
            <charset val="1"/>
          </rPr>
          <t>1 : Intermediate
2 : Adeverse 
3 : unknown</t>
        </r>
      </text>
    </comment>
    <comment ref="G2" authorId="0" shapeId="0" xr:uid="{00000000-0006-0000-0000-000005000000}">
      <text>
        <r>
          <rPr>
            <b/>
            <sz val="9"/>
            <color indexed="81"/>
            <rFont val="Tahoma"/>
            <charset val="1"/>
          </rPr>
          <t>1 : oui 
2 : non</t>
        </r>
      </text>
    </comment>
    <comment ref="I2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1 : yes 
2 : no</t>
        </r>
      </text>
    </comment>
    <comment ref="J2" authorId="0" shapeId="0" xr:uid="{00000000-0006-0000-0000-000007000000}">
      <text>
        <r>
          <rPr>
            <b/>
            <sz val="9"/>
            <color indexed="81"/>
            <rFont val="Tahoma"/>
            <charset val="1"/>
          </rPr>
          <t>1 : sibling
2 : unrelated</t>
        </r>
      </text>
    </comment>
    <comment ref="K2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1 : M
2 : F</t>
        </r>
      </text>
    </comment>
    <comment ref="L2" authorId="1" shapeId="0" xr:uid="{00000000-0006-0000-0000-000009000000}">
      <text>
        <r>
          <rPr>
            <b/>
            <sz val="9"/>
            <color indexed="81"/>
            <rFont val="Tahoma"/>
            <family val="2"/>
          </rPr>
          <t>1 : 10/10
2 : 9/10</t>
        </r>
      </text>
    </comment>
    <comment ref="M2" authorId="0" shapeId="0" xr:uid="{00000000-0006-0000-0000-00000A000000}">
      <text>
        <r>
          <rPr>
            <b/>
            <sz val="9"/>
            <color indexed="81"/>
            <rFont val="Tahoma"/>
            <charset val="1"/>
          </rPr>
          <t>1 : yes 
2 : no</t>
        </r>
      </text>
    </comment>
    <comment ref="N2" authorId="1" shapeId="0" xr:uid="{00000000-0006-0000-0000-00000B000000}">
      <text>
        <r>
          <rPr>
            <b/>
            <sz val="9"/>
            <color indexed="81"/>
            <rFont val="Tahoma"/>
            <family val="2"/>
          </rPr>
          <t>1 : MAC
2 : RIC</t>
        </r>
      </text>
    </comment>
    <comment ref="O2" authorId="2" shapeId="0" xr:uid="{00000000-0006-0000-0000-00000C000000}">
      <text>
        <r>
          <rPr>
            <b/>
            <sz val="9"/>
            <color indexed="81"/>
            <rFont val="Tahoma"/>
            <family val="2"/>
          </rPr>
          <t>SANSEN Pierre-yves:</t>
        </r>
        <r>
          <rPr>
            <sz val="9"/>
            <color indexed="81"/>
            <rFont val="Tahoma"/>
            <family val="2"/>
          </rPr>
          <t xml:space="preserve">
0 : non 
1 : oui
</t>
        </r>
      </text>
    </comment>
    <comment ref="R2" authorId="2" shapeId="0" xr:uid="{00000000-0006-0000-0000-00000D000000}">
      <text>
        <r>
          <rPr>
            <b/>
            <sz val="9"/>
            <color indexed="81"/>
            <rFont val="Tahoma"/>
            <charset val="1"/>
          </rPr>
          <t>SANSEN Pierre-yves:</t>
        </r>
        <r>
          <rPr>
            <sz val="9"/>
            <color indexed="81"/>
            <rFont val="Tahoma"/>
            <charset val="1"/>
          </rPr>
          <t xml:space="preserve">
0 : non 
1 : oui</t>
        </r>
      </text>
    </comment>
    <comment ref="S2" authorId="1" shapeId="0" xr:uid="{00000000-0006-0000-0000-00000E000000}">
      <text>
        <r>
          <rPr>
            <b/>
            <sz val="9"/>
            <color indexed="81"/>
            <rFont val="Tahoma"/>
            <family val="2"/>
          </rPr>
          <t>dmi:</t>
        </r>
        <r>
          <rPr>
            <sz val="9"/>
            <color indexed="81"/>
            <rFont val="Tahoma"/>
            <family val="2"/>
          </rPr>
          <t xml:space="preserve">
0: no
1: yes</t>
        </r>
      </text>
    </comment>
    <comment ref="X2" authorId="0" shapeId="0" xr:uid="{00000000-0006-0000-0000-00000F000000}">
      <text>
        <r>
          <rPr>
            <b/>
            <sz val="9"/>
            <color indexed="81"/>
            <rFont val="Tahoma"/>
            <charset val="1"/>
          </rPr>
          <t xml:space="preserve">1 : Early
2 : Late
</t>
        </r>
      </text>
    </comment>
    <comment ref="AD2" authorId="2" shapeId="0" xr:uid="{00000000-0006-0000-0000-000010000000}">
      <text>
        <r>
          <rPr>
            <b/>
            <sz val="9"/>
            <color indexed="81"/>
            <rFont val="Tahoma"/>
            <charset val="1"/>
          </rPr>
          <t>SANSEN Pierre-yves:</t>
        </r>
        <r>
          <rPr>
            <sz val="9"/>
            <color indexed="81"/>
            <rFont val="Tahoma"/>
            <charset val="1"/>
          </rPr>
          <t xml:space="preserve">
0 : pas de réponse 
1 : CR/Cri (réponse complète)</t>
        </r>
      </text>
    </comment>
    <comment ref="AE2" authorId="2" shapeId="0" xr:uid="{00000000-0006-0000-0000-000011000000}">
      <text>
        <r>
          <rPr>
            <b/>
            <sz val="9"/>
            <color indexed="81"/>
            <rFont val="Tahoma"/>
            <charset val="1"/>
          </rPr>
          <t>SANSEN Pierre-yves:</t>
        </r>
        <r>
          <rPr>
            <sz val="9"/>
            <color indexed="81"/>
            <rFont val="Tahoma"/>
            <charset val="1"/>
          </rPr>
          <t xml:space="preserve">
0 : pas de réponse 
1 : CR/CRi</t>
        </r>
      </text>
    </comment>
    <comment ref="AF2" authorId="2" shapeId="0" xr:uid="{00000000-0006-0000-0000-000012000000}">
      <text>
        <r>
          <rPr>
            <b/>
            <sz val="9"/>
            <color indexed="81"/>
            <rFont val="Tahoma"/>
            <charset val="1"/>
          </rPr>
          <t>SANSEN Pierre-yves:</t>
        </r>
        <r>
          <rPr>
            <sz val="9"/>
            <color indexed="81"/>
            <rFont val="Tahoma"/>
            <charset val="1"/>
          </rPr>
          <t xml:space="preserve">
0 : non 
1 : oui</t>
        </r>
      </text>
    </comment>
    <comment ref="AG2" authorId="2" shapeId="0" xr:uid="{00000000-0006-0000-0000-000013000000}">
      <text>
        <r>
          <rPr>
            <b/>
            <sz val="9"/>
            <color indexed="81"/>
            <rFont val="Tahoma"/>
            <charset val="1"/>
          </rPr>
          <t>SANSEN Pierre-yves:</t>
        </r>
        <r>
          <rPr>
            <sz val="9"/>
            <color indexed="81"/>
            <rFont val="Tahoma"/>
            <charset val="1"/>
          </rPr>
          <t xml:space="preserve">
1 : oui 
2 : non</t>
        </r>
      </text>
    </comment>
    <comment ref="AP2" authorId="0" shapeId="0" xr:uid="{00000000-0006-0000-0000-000014000000}">
      <text>
        <r>
          <rPr>
            <b/>
            <sz val="9"/>
            <color indexed="81"/>
            <rFont val="Tahoma"/>
            <charset val="1"/>
          </rPr>
          <t xml:space="preserve">1 : Early
2 : Late
</t>
        </r>
      </text>
    </comment>
  </commentList>
</comments>
</file>

<file path=xl/sharedStrings.xml><?xml version="1.0" encoding="utf-8"?>
<sst xmlns="http://schemas.openxmlformats.org/spreadsheetml/2006/main" count="157" uniqueCount="70">
  <si>
    <t>Patient n°</t>
  </si>
  <si>
    <t>Age</t>
  </si>
  <si>
    <t>Disease type</t>
  </si>
  <si>
    <t>Prognosis category</t>
  </si>
  <si>
    <t xml:space="preserve">Type of donor </t>
  </si>
  <si>
    <t>Conditioning regiment's details codded</t>
  </si>
  <si>
    <t>Date inclusion</t>
  </si>
  <si>
    <t>Date IS stopped</t>
  </si>
  <si>
    <t>Date of HSCT</t>
  </si>
  <si>
    <t>Date of Relapse</t>
  </si>
  <si>
    <t>Late or early relapse</t>
  </si>
  <si>
    <t>cGVHD before inclusion and ongoing?</t>
  </si>
  <si>
    <t>Date of Death</t>
  </si>
  <si>
    <t>*</t>
  </si>
  <si>
    <t xml:space="preserve">Patient </t>
  </si>
  <si>
    <t>Disease characteristics</t>
  </si>
  <si>
    <t>Days between graft and inclusion</t>
  </si>
  <si>
    <t xml:space="preserve">Graft </t>
  </si>
  <si>
    <t>Relapse</t>
  </si>
  <si>
    <t>Study inclusion</t>
  </si>
  <si>
    <t>Survival data</t>
  </si>
  <si>
    <t>aGVHD before inclusion and ongoing?</t>
  </si>
  <si>
    <t>&gt;95</t>
  </si>
  <si>
    <t>NPM1</t>
  </si>
  <si>
    <t>Disease status</t>
  </si>
  <si>
    <t>F to M</t>
  </si>
  <si>
    <t>Global chemerism</t>
  </si>
  <si>
    <t>T chemerism at inclusion</t>
  </si>
  <si>
    <t>Matching HLA</t>
  </si>
  <si>
    <t>Second graft</t>
  </si>
  <si>
    <t>Median WBC (/µL)</t>
  </si>
  <si>
    <t>Time from IS arrest and inclusion (days)</t>
  </si>
  <si>
    <t>ND</t>
  </si>
  <si>
    <t>Median ALC (/µL)</t>
  </si>
  <si>
    <t>%blasts in BM at inclusion</t>
  </si>
  <si>
    <t>&lt;5</t>
  </si>
  <si>
    <t>Sex of donor</t>
  </si>
  <si>
    <t>Sex of patient</t>
  </si>
  <si>
    <t>Days to last follow-up</t>
  </si>
  <si>
    <t>Date of last follow-up</t>
  </si>
  <si>
    <t>Days alive since inclusion</t>
  </si>
  <si>
    <t xml:space="preserve">Non rechuteurs de Liège </t>
  </si>
  <si>
    <t>Rechuteurs tardifs de Liège</t>
  </si>
  <si>
    <t>Days between HSCT and inclusion</t>
  </si>
  <si>
    <t>Time between graft and relapse</t>
  </si>
  <si>
    <t>Days between HCT and relapse</t>
  </si>
  <si>
    <t>Is the patient alive ?</t>
  </si>
  <si>
    <t>Is the patient alive and in CR at the time of last follow-up ?</t>
  </si>
  <si>
    <t>ATG received</t>
  </si>
  <si>
    <t>CR during the study</t>
  </si>
  <si>
    <t>Response after the first cycle of AZA (after C1)</t>
  </si>
  <si>
    <t>e of Death</t>
  </si>
  <si>
    <t>Date between inclusion and last-follow up</t>
  </si>
  <si>
    <t>2-May-14</t>
  </si>
  <si>
    <t xml:space="preserve"> </t>
  </si>
  <si>
    <t>28-May-14</t>
  </si>
  <si>
    <t>4-Aug-17</t>
  </si>
  <si>
    <t>1-May-15</t>
  </si>
  <si>
    <t>15-Apr-16</t>
  </si>
  <si>
    <t>4-Apr-15</t>
  </si>
  <si>
    <t>5-Aug-15</t>
  </si>
  <si>
    <t>14-Apr-15</t>
  </si>
  <si>
    <t>26-Apr-16</t>
  </si>
  <si>
    <t>10-Dec-15</t>
  </si>
  <si>
    <t>20-Apr-16</t>
  </si>
  <si>
    <t>3-Feb-16</t>
  </si>
  <si>
    <t>31-Dec-15</t>
  </si>
  <si>
    <t>17-Feb-16</t>
  </si>
  <si>
    <t>10-Aug-16</t>
  </si>
  <si>
    <t>16-Apr-17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</si>
</sst>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\-mmm\-yy;@"/>
    <numFmt numFmtId="165" formatCode="d/mm/yyyy;@"/>
    <numFmt numFmtId="166" formatCode="dd/mm/yy;@"/>
    <numFmt numFmtId="167" formatCode="yyyy/mm/dd;@"/>
  </numFmts>
  <fonts count="13">
    <font>
      <sz val="11"/>
      <color theme="1"/>
      <name val="Aptos Narrow"/>
      <family val="2"/>
      <scheme val="minor"/>
    </font>
    <font>
      <sz val="10"/>
      <name val="Arial"/>
      <family val="2"/>
    </font>
    <font>
      <strike/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Tahoma"/>
      <charset val="1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11"/>
      <name val="Arial"/>
      <family val="2"/>
    </font>
    <font>
      <sz val="11"/>
      <name val="Arial"/>
      <family val="2"/>
    </font>
    <font>
      <b/>
      <sz val="10"/>
      <color theme="1"/>
      <name val="Aptos Narrow"/>
      <family val="2"/>
      <scheme val="minor"/>
    </font>
    <font>
      <b/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6">
    <xf numFmtId="0" fontId="0" fillId="0" borderId="0" xfId="0"/>
    <xf numFmtId="0" fontId="2" fillId="0" borderId="0" xfId="1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right"/>
    </xf>
    <xf numFmtId="0" fontId="1" fillId="0" borderId="0" xfId="0" applyFont="1" applyAlignment="1">
      <alignment horizontal="center" vertical="top" wrapText="1"/>
    </xf>
    <xf numFmtId="1" fontId="1" fillId="0" borderId="2" xfId="0" applyNumberFormat="1" applyFont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top" wrapText="1"/>
    </xf>
    <xf numFmtId="1" fontId="1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166" fontId="1" fillId="0" borderId="0" xfId="0" applyNumberFormat="1" applyFont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14" fontId="1" fillId="2" borderId="0" xfId="0" applyNumberFormat="1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7" fontId="1" fillId="0" borderId="1" xfId="0" applyNumberFormat="1" applyFont="1" applyBorder="1" applyAlignment="1">
      <alignment horizontal="center"/>
    </xf>
    <xf numFmtId="166" fontId="1" fillId="2" borderId="0" xfId="0" applyNumberFormat="1" applyFont="1" applyFill="1" applyAlignment="1">
      <alignment horizontal="center"/>
    </xf>
    <xf numFmtId="166" fontId="1" fillId="0" borderId="2" xfId="0" applyNumberFormat="1" applyFont="1" applyBorder="1" applyAlignment="1">
      <alignment horizontal="center"/>
    </xf>
    <xf numFmtId="165" fontId="1" fillId="0" borderId="3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5" fontId="1" fillId="0" borderId="2" xfId="0" applyNumberFormat="1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167" fontId="1" fillId="0" borderId="1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right"/>
    </xf>
    <xf numFmtId="14" fontId="1" fillId="0" borderId="2" xfId="0" applyNumberFormat="1" applyFont="1" applyBorder="1" applyAlignment="1">
      <alignment horizontal="right"/>
    </xf>
    <xf numFmtId="14" fontId="7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1" fillId="0" borderId="0" xfId="0" applyNumberFormat="1" applyFont="1" applyAlignment="1">
      <alignment horizontal="center"/>
    </xf>
    <xf numFmtId="14" fontId="1" fillId="0" borderId="0" xfId="0" applyNumberFormat="1" applyFont="1" applyFill="1" applyAlignment="1">
      <alignment horizontal="center"/>
    </xf>
    <xf numFmtId="0" fontId="1" fillId="0" borderId="0" xfId="0" applyFont="1" applyFill="1" applyBorder="1" applyAlignment="1">
      <alignment horizontal="center"/>
    </xf>
    <xf numFmtId="14" fontId="1" fillId="0" borderId="0" xfId="0" applyNumberFormat="1" applyFont="1" applyFill="1" applyBorder="1" applyAlignment="1">
      <alignment horizontal="center"/>
    </xf>
    <xf numFmtId="1" fontId="1" fillId="0" borderId="0" xfId="0" applyNumberFormat="1" applyFont="1" applyFill="1" applyBorder="1" applyAlignment="1">
      <alignment horizontal="center"/>
    </xf>
    <xf numFmtId="1" fontId="1" fillId="0" borderId="2" xfId="0" applyNumberFormat="1" applyFont="1" applyFill="1" applyBorder="1" applyAlignment="1">
      <alignment horizontal="center"/>
    </xf>
    <xf numFmtId="0" fontId="0" fillId="0" borderId="0" xfId="0" applyFont="1"/>
    <xf numFmtId="166" fontId="9" fillId="0" borderId="0" xfId="0" applyNumberFormat="1" applyFont="1"/>
    <xf numFmtId="0" fontId="9" fillId="0" borderId="0" xfId="0" applyFont="1"/>
    <xf numFmtId="0" fontId="10" fillId="0" borderId="0" xfId="0" applyFont="1" applyAlignment="1">
      <alignment horizontal="center"/>
    </xf>
    <xf numFmtId="14" fontId="10" fillId="0" borderId="0" xfId="0" applyNumberFormat="1" applyFont="1" applyAlignment="1">
      <alignment horizontal="right"/>
    </xf>
    <xf numFmtId="166" fontId="10" fillId="0" borderId="0" xfId="0" applyNumberFormat="1" applyFont="1" applyAlignment="1">
      <alignment horizontal="right"/>
    </xf>
    <xf numFmtId="0" fontId="10" fillId="0" borderId="0" xfId="0" applyFont="1" applyAlignment="1">
      <alignment horizontal="center" vertical="top" wrapText="1"/>
    </xf>
    <xf numFmtId="0" fontId="10" fillId="0" borderId="0" xfId="0" applyFont="1" applyAlignment="1">
      <alignment horizontal="right"/>
    </xf>
    <xf numFmtId="166" fontId="10" fillId="0" borderId="0" xfId="0" applyNumberFormat="1" applyFont="1"/>
    <xf numFmtId="14" fontId="10" fillId="0" borderId="0" xfId="0" applyNumberFormat="1" applyFont="1"/>
    <xf numFmtId="166" fontId="10" fillId="0" borderId="2" xfId="0" applyNumberFormat="1" applyFont="1" applyBorder="1"/>
    <xf numFmtId="165" fontId="10" fillId="0" borderId="2" xfId="0" applyNumberFormat="1" applyFont="1" applyBorder="1"/>
    <xf numFmtId="0" fontId="7" fillId="0" borderId="0" xfId="0" applyFont="1"/>
    <xf numFmtId="0" fontId="11" fillId="6" borderId="0" xfId="0" applyFont="1" applyFill="1" applyAlignment="1">
      <alignment horizontal="center"/>
    </xf>
    <xf numFmtId="0" fontId="11" fillId="7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166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12" fillId="0" borderId="1" xfId="0" applyFont="1" applyBorder="1" applyAlignment="1">
      <alignment horizontal="center"/>
    </xf>
    <xf numFmtId="0" fontId="1" fillId="0" borderId="0" xfId="1" applyFont="1" applyAlignment="1">
      <alignment horizontal="center"/>
    </xf>
    <xf numFmtId="0" fontId="1" fillId="2" borderId="0" xfId="1" applyFont="1" applyFill="1" applyAlignment="1">
      <alignment horizontal="center"/>
    </xf>
    <xf numFmtId="0" fontId="7" fillId="2" borderId="0" xfId="0" applyFont="1" applyFill="1" applyAlignment="1">
      <alignment horizontal="center"/>
    </xf>
    <xf numFmtId="1" fontId="7" fillId="0" borderId="0" xfId="0" applyNumberFormat="1" applyFont="1" applyAlignment="1">
      <alignment horizontal="center"/>
    </xf>
    <xf numFmtId="0" fontId="1" fillId="0" borderId="2" xfId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14" fontId="7" fillId="0" borderId="0" xfId="0" applyNumberFormat="1" applyFont="1" applyAlignment="1">
      <alignment horizontal="center"/>
    </xf>
    <xf numFmtId="0" fontId="7" fillId="9" borderId="0" xfId="0" applyFont="1" applyFill="1" applyAlignment="1">
      <alignment horizontal="center"/>
    </xf>
    <xf numFmtId="0" fontId="11" fillId="7" borderId="0" xfId="0" applyFont="1" applyFill="1" applyAlignment="1">
      <alignment horizontal="center"/>
    </xf>
    <xf numFmtId="14" fontId="0" fillId="0" borderId="0" xfId="0" applyNumberFormat="1"/>
    <xf numFmtId="15" fontId="0" fillId="0" borderId="0" xfId="0" applyNumberFormat="1"/>
    <xf numFmtId="0" fontId="11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11" fillId="6" borderId="0" xfId="0" applyFont="1" applyFill="1" applyAlignment="1">
      <alignment horizontal="center"/>
    </xf>
    <xf numFmtId="0" fontId="11" fillId="7" borderId="0" xfId="0" applyFont="1" applyFill="1" applyAlignment="1">
      <alignment horizontal="center"/>
    </xf>
    <xf numFmtId="0" fontId="11" fillId="8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62"/>
  <sheetViews>
    <sheetView tabSelected="1" zoomScaleNormal="100" workbookViewId="0">
      <pane xSplit="1" ySplit="2" topLeftCell="Z3" activePane="bottomRight" state="frozen"/>
      <selection pane="topRight" activeCell="B1" sqref="B1"/>
      <selection pane="bottomLeft" activeCell="A3" sqref="A3"/>
      <selection pane="bottomRight" activeCell="AK26" sqref="AK26"/>
    </sheetView>
  </sheetViews>
  <sheetFormatPr baseColWidth="10" defaultRowHeight="14.25"/>
  <sheetData>
    <row r="1" spans="1:42">
      <c r="A1" s="49"/>
      <c r="B1" s="73" t="s">
        <v>14</v>
      </c>
      <c r="C1" s="73"/>
      <c r="D1" s="74" t="s">
        <v>15</v>
      </c>
      <c r="E1" s="74"/>
      <c r="F1" s="74"/>
      <c r="G1" s="74"/>
      <c r="H1" s="72" t="s">
        <v>17</v>
      </c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5" t="s">
        <v>18</v>
      </c>
      <c r="W1" s="75"/>
      <c r="X1" s="75"/>
      <c r="Y1" s="70" t="s">
        <v>19</v>
      </c>
      <c r="Z1" s="70"/>
      <c r="AA1" s="70"/>
      <c r="AB1" s="70"/>
      <c r="AC1" s="50"/>
      <c r="AD1" s="71"/>
      <c r="AE1" s="71"/>
      <c r="AF1" s="71" t="s">
        <v>20</v>
      </c>
      <c r="AG1" s="71"/>
      <c r="AH1" s="71"/>
      <c r="AI1" s="65"/>
      <c r="AJ1" s="51"/>
      <c r="AK1" s="51"/>
      <c r="AL1" s="37"/>
      <c r="AM1" s="37"/>
      <c r="AN1" s="37"/>
      <c r="AO1" s="37"/>
      <c r="AP1" s="37"/>
    </row>
    <row r="2" spans="1:42" ht="15">
      <c r="A2" s="52" t="s">
        <v>0</v>
      </c>
      <c r="B2" s="52" t="s">
        <v>1</v>
      </c>
      <c r="C2" s="52" t="s">
        <v>37</v>
      </c>
      <c r="D2" s="52" t="s">
        <v>2</v>
      </c>
      <c r="E2" s="52" t="s">
        <v>24</v>
      </c>
      <c r="F2" s="52" t="s">
        <v>3</v>
      </c>
      <c r="G2" s="52" t="s">
        <v>23</v>
      </c>
      <c r="H2" s="53" t="s">
        <v>8</v>
      </c>
      <c r="I2" s="53" t="s">
        <v>29</v>
      </c>
      <c r="J2" s="52" t="s">
        <v>4</v>
      </c>
      <c r="K2" s="52" t="s">
        <v>36</v>
      </c>
      <c r="L2" s="54" t="s">
        <v>28</v>
      </c>
      <c r="M2" s="52" t="s">
        <v>25</v>
      </c>
      <c r="N2" s="55" t="s">
        <v>5</v>
      </c>
      <c r="O2" s="55" t="s">
        <v>48</v>
      </c>
      <c r="P2" s="55" t="s">
        <v>7</v>
      </c>
      <c r="Q2" s="54" t="s">
        <v>31</v>
      </c>
      <c r="R2" s="54" t="s">
        <v>21</v>
      </c>
      <c r="S2" s="54" t="s">
        <v>11</v>
      </c>
      <c r="T2" s="54" t="s">
        <v>26</v>
      </c>
      <c r="U2" s="54" t="s">
        <v>27</v>
      </c>
      <c r="V2" s="54" t="s">
        <v>9</v>
      </c>
      <c r="W2" s="54" t="s">
        <v>45</v>
      </c>
      <c r="X2" s="54" t="s">
        <v>10</v>
      </c>
      <c r="Y2" s="54" t="s">
        <v>6</v>
      </c>
      <c r="Z2" s="54" t="s">
        <v>30</v>
      </c>
      <c r="AA2" s="54" t="s">
        <v>33</v>
      </c>
      <c r="AB2" s="55" t="s">
        <v>16</v>
      </c>
      <c r="AC2" s="54" t="s">
        <v>34</v>
      </c>
      <c r="AD2" s="54" t="s">
        <v>50</v>
      </c>
      <c r="AE2" s="54" t="s">
        <v>49</v>
      </c>
      <c r="AF2" s="54" t="s">
        <v>46</v>
      </c>
      <c r="AG2" s="54" t="s">
        <v>47</v>
      </c>
      <c r="AH2" s="54" t="s">
        <v>12</v>
      </c>
      <c r="AI2" s="54" t="s">
        <v>40</v>
      </c>
      <c r="AJ2" s="54" t="s">
        <v>39</v>
      </c>
      <c r="AK2" s="54" t="s">
        <v>38</v>
      </c>
      <c r="AL2" s="30" t="s">
        <v>43</v>
      </c>
      <c r="AM2" s="49" t="s">
        <v>44</v>
      </c>
      <c r="AN2" s="38"/>
      <c r="AO2" s="39"/>
      <c r="AP2" s="39"/>
    </row>
    <row r="3" spans="1:42">
      <c r="A3" s="56">
        <v>1</v>
      </c>
      <c r="B3" s="2">
        <v>52</v>
      </c>
      <c r="C3" s="3">
        <v>1</v>
      </c>
      <c r="D3" s="3">
        <v>1</v>
      </c>
      <c r="E3" s="3">
        <v>1</v>
      </c>
      <c r="F3" s="30">
        <v>2</v>
      </c>
      <c r="G3" s="30">
        <v>2</v>
      </c>
      <c r="H3" s="11">
        <v>41410</v>
      </c>
      <c r="I3" s="3">
        <v>2</v>
      </c>
      <c r="J3" s="3">
        <v>2</v>
      </c>
      <c r="K3" s="3">
        <v>2</v>
      </c>
      <c r="L3" s="3">
        <v>2</v>
      </c>
      <c r="M3" s="30">
        <v>1</v>
      </c>
      <c r="N3" s="3">
        <v>2</v>
      </c>
      <c r="O3" s="3">
        <v>0</v>
      </c>
      <c r="P3" s="12">
        <v>41593</v>
      </c>
      <c r="Q3" s="30">
        <f>DATEDIF(P3,Y3,"d")</f>
        <v>35</v>
      </c>
      <c r="R3" s="30">
        <v>0</v>
      </c>
      <c r="S3" s="30">
        <v>0</v>
      </c>
      <c r="T3" s="3">
        <v>81</v>
      </c>
      <c r="U3" s="3" t="s">
        <v>13</v>
      </c>
      <c r="V3" s="13">
        <v>41583</v>
      </c>
      <c r="W3" s="31">
        <f>DATEDIF(H3,P3,"d")</f>
        <v>183</v>
      </c>
      <c r="X3" s="3">
        <v>1</v>
      </c>
      <c r="Y3" s="13">
        <v>41628</v>
      </c>
      <c r="Z3" s="3">
        <v>770</v>
      </c>
      <c r="AA3" s="3">
        <v>320</v>
      </c>
      <c r="AB3" s="3">
        <f>DATEDIF(H3,Y3,"d")</f>
        <v>218</v>
      </c>
      <c r="AC3" s="3">
        <v>7.8</v>
      </c>
      <c r="AD3" s="3">
        <v>0</v>
      </c>
      <c r="AE3" s="3">
        <v>0</v>
      </c>
      <c r="AF3" s="33">
        <v>0</v>
      </c>
      <c r="AG3" s="33">
        <v>0</v>
      </c>
      <c r="AH3" s="34">
        <v>41761</v>
      </c>
      <c r="AI3" s="3">
        <f>DATEDIF(Y3,AH3,"d")</f>
        <v>133</v>
      </c>
      <c r="AJ3" s="4">
        <v>41761</v>
      </c>
      <c r="AK3" s="26">
        <f>DATEDIF(Y3,AJ3,"d")</f>
        <v>133</v>
      </c>
      <c r="AL3" s="37"/>
      <c r="AM3" s="37"/>
      <c r="AN3" s="42"/>
      <c r="AO3" s="41"/>
      <c r="AP3" s="40"/>
    </row>
    <row r="4" spans="1:42">
      <c r="A4" s="56">
        <v>2</v>
      </c>
      <c r="B4" s="2">
        <v>59</v>
      </c>
      <c r="C4" s="3">
        <v>1</v>
      </c>
      <c r="D4" s="3">
        <v>1</v>
      </c>
      <c r="E4" s="3">
        <v>1</v>
      </c>
      <c r="F4" s="30">
        <v>2</v>
      </c>
      <c r="G4" s="30">
        <v>2</v>
      </c>
      <c r="H4" s="11">
        <v>41530</v>
      </c>
      <c r="I4" s="3">
        <v>2</v>
      </c>
      <c r="J4" s="3">
        <v>1</v>
      </c>
      <c r="K4" s="3">
        <v>2</v>
      </c>
      <c r="L4" s="3">
        <v>1</v>
      </c>
      <c r="M4" s="30">
        <v>1</v>
      </c>
      <c r="N4" s="3">
        <v>2</v>
      </c>
      <c r="O4" s="3">
        <v>0</v>
      </c>
      <c r="P4" s="12">
        <v>41614</v>
      </c>
      <c r="Q4" s="30">
        <f t="shared" ref="Q4:Q8" si="0">DATEDIF(P4,Y4,"d")</f>
        <v>20</v>
      </c>
      <c r="R4" s="30">
        <v>0</v>
      </c>
      <c r="S4" s="30">
        <v>0</v>
      </c>
      <c r="T4" s="3" t="s">
        <v>13</v>
      </c>
      <c r="U4" s="3">
        <v>86</v>
      </c>
      <c r="V4" s="13">
        <v>41575</v>
      </c>
      <c r="W4" s="31">
        <f>DATEDIF(H4,P4,"d")</f>
        <v>84</v>
      </c>
      <c r="X4" s="3">
        <v>1</v>
      </c>
      <c r="Y4" s="13">
        <v>41634</v>
      </c>
      <c r="Z4" s="3">
        <v>1410</v>
      </c>
      <c r="AA4" s="3">
        <v>1260</v>
      </c>
      <c r="AB4" s="3">
        <f>DATEDIF(H4,Y4,"d")</f>
        <v>104</v>
      </c>
      <c r="AC4" s="30">
        <v>26</v>
      </c>
      <c r="AD4" s="30">
        <v>0</v>
      </c>
      <c r="AE4" s="30">
        <v>1</v>
      </c>
      <c r="AF4" s="33">
        <v>0</v>
      </c>
      <c r="AG4" s="33">
        <v>0</v>
      </c>
      <c r="AH4" s="34">
        <v>41884</v>
      </c>
      <c r="AI4" s="3">
        <f>DATEDIF(Y4,AH4,"d")</f>
        <v>250</v>
      </c>
      <c r="AJ4" s="4">
        <v>41884</v>
      </c>
      <c r="AK4" s="26">
        <f t="shared" ref="AK4:AK8" si="1">DATEDIF(Y4,AJ4,"d")</f>
        <v>250</v>
      </c>
      <c r="AL4" s="37"/>
      <c r="AM4" s="37"/>
      <c r="AN4" s="42"/>
      <c r="AO4" s="41"/>
      <c r="AP4" s="40"/>
    </row>
    <row r="5" spans="1:42">
      <c r="A5" s="56">
        <v>3</v>
      </c>
      <c r="B5" s="2">
        <v>62</v>
      </c>
      <c r="C5" s="3">
        <v>1</v>
      </c>
      <c r="D5" s="3">
        <v>1</v>
      </c>
      <c r="E5" s="3">
        <v>1</v>
      </c>
      <c r="F5" s="30">
        <v>2</v>
      </c>
      <c r="G5" s="30">
        <v>2</v>
      </c>
      <c r="H5" s="11">
        <v>41402</v>
      </c>
      <c r="I5" s="3">
        <v>2</v>
      </c>
      <c r="J5" s="3">
        <v>2</v>
      </c>
      <c r="K5" s="3">
        <v>1</v>
      </c>
      <c r="L5" s="3">
        <v>1</v>
      </c>
      <c r="M5" s="30">
        <v>2</v>
      </c>
      <c r="N5" s="3">
        <v>2</v>
      </c>
      <c r="O5" s="3">
        <v>1</v>
      </c>
      <c r="P5" s="12">
        <v>41624</v>
      </c>
      <c r="Q5" s="30">
        <f t="shared" si="0"/>
        <v>30</v>
      </c>
      <c r="R5" s="30">
        <v>0</v>
      </c>
      <c r="S5" s="30">
        <v>1</v>
      </c>
      <c r="T5" s="3">
        <v>42.9</v>
      </c>
      <c r="U5" s="3" t="s">
        <v>13</v>
      </c>
      <c r="V5" s="13">
        <v>41624</v>
      </c>
      <c r="W5" s="31">
        <f t="shared" ref="W5:W50" si="2">DATEDIF(H5,P5,"d")</f>
        <v>222</v>
      </c>
      <c r="X5" s="3">
        <v>1</v>
      </c>
      <c r="Y5" s="13">
        <v>41654</v>
      </c>
      <c r="Z5" s="30">
        <v>4600</v>
      </c>
      <c r="AA5" s="30">
        <v>620</v>
      </c>
      <c r="AB5" s="3">
        <f t="shared" ref="AB5:AB54" si="3">DATEDIF(H5,Y5,"d")</f>
        <v>252</v>
      </c>
      <c r="AC5" s="30">
        <v>8</v>
      </c>
      <c r="AD5" s="30">
        <v>0</v>
      </c>
      <c r="AE5" s="30">
        <v>0</v>
      </c>
      <c r="AF5" s="33">
        <v>1</v>
      </c>
      <c r="AG5" s="33">
        <v>0</v>
      </c>
      <c r="AH5" s="33" t="s">
        <v>13</v>
      </c>
      <c r="AI5" s="3" t="s">
        <v>13</v>
      </c>
      <c r="AJ5" s="4">
        <v>41715</v>
      </c>
      <c r="AK5" s="26">
        <f t="shared" si="1"/>
        <v>61</v>
      </c>
      <c r="AL5" s="37"/>
      <c r="AM5" s="37"/>
      <c r="AN5" s="42"/>
      <c r="AO5" s="41"/>
      <c r="AP5" s="40"/>
    </row>
    <row r="6" spans="1:42">
      <c r="A6" s="1">
        <v>4</v>
      </c>
      <c r="B6" s="2">
        <v>56</v>
      </c>
      <c r="C6" s="3">
        <v>1</v>
      </c>
      <c r="D6" s="3">
        <v>2</v>
      </c>
      <c r="E6" s="3">
        <v>1</v>
      </c>
      <c r="F6" s="30">
        <v>1</v>
      </c>
      <c r="G6" s="30">
        <v>2</v>
      </c>
      <c r="H6" s="11">
        <v>41095</v>
      </c>
      <c r="I6" s="3">
        <v>2</v>
      </c>
      <c r="J6" s="3">
        <v>2</v>
      </c>
      <c r="K6" s="3">
        <v>2</v>
      </c>
      <c r="L6" s="3">
        <v>1</v>
      </c>
      <c r="M6" s="30">
        <v>1</v>
      </c>
      <c r="N6" s="3">
        <v>2</v>
      </c>
      <c r="O6" s="3">
        <v>0</v>
      </c>
      <c r="P6" s="12">
        <v>41466</v>
      </c>
      <c r="Q6" s="30">
        <f t="shared" si="0"/>
        <v>190</v>
      </c>
      <c r="R6" s="30">
        <v>0</v>
      </c>
      <c r="S6" s="30">
        <v>0</v>
      </c>
      <c r="T6" s="3">
        <v>95</v>
      </c>
      <c r="U6" s="3" t="s">
        <v>13</v>
      </c>
      <c r="V6" s="13">
        <v>41604</v>
      </c>
      <c r="W6" s="31">
        <f>DATEDIF(H6,P6,"d")</f>
        <v>371</v>
      </c>
      <c r="X6" s="5">
        <v>2</v>
      </c>
      <c r="Y6" s="13">
        <v>41656</v>
      </c>
      <c r="Z6" s="3">
        <v>7300</v>
      </c>
      <c r="AA6" s="3">
        <v>1781</v>
      </c>
      <c r="AB6" s="3">
        <f t="shared" si="3"/>
        <v>561</v>
      </c>
      <c r="AC6" s="30">
        <v>0</v>
      </c>
      <c r="AD6" s="30">
        <v>0</v>
      </c>
      <c r="AE6" s="30">
        <v>0</v>
      </c>
      <c r="AF6" s="33">
        <v>1</v>
      </c>
      <c r="AG6" s="33">
        <v>1</v>
      </c>
      <c r="AH6" s="33" t="s">
        <v>13</v>
      </c>
      <c r="AI6" s="3" t="s">
        <v>13</v>
      </c>
      <c r="AJ6" s="4">
        <v>42544</v>
      </c>
      <c r="AK6" s="26">
        <f t="shared" si="1"/>
        <v>888</v>
      </c>
      <c r="AL6" s="37"/>
      <c r="AM6" s="37"/>
      <c r="AN6" s="42"/>
      <c r="AO6" s="41"/>
      <c r="AP6" s="43"/>
    </row>
    <row r="7" spans="1:42">
      <c r="A7" s="56">
        <v>5</v>
      </c>
      <c r="B7" s="2">
        <v>24</v>
      </c>
      <c r="C7" s="3">
        <v>1</v>
      </c>
      <c r="D7" s="3">
        <v>1</v>
      </c>
      <c r="E7" s="3">
        <v>2</v>
      </c>
      <c r="F7" s="30">
        <v>1</v>
      </c>
      <c r="G7" s="30">
        <v>2</v>
      </c>
      <c r="H7" s="11">
        <v>41397</v>
      </c>
      <c r="I7" s="3">
        <v>2</v>
      </c>
      <c r="J7" s="3">
        <v>2</v>
      </c>
      <c r="K7" s="3">
        <v>1</v>
      </c>
      <c r="L7" s="3">
        <v>1</v>
      </c>
      <c r="M7" s="30">
        <v>2</v>
      </c>
      <c r="N7" s="3">
        <v>1</v>
      </c>
      <c r="O7" s="3">
        <v>1</v>
      </c>
      <c r="P7" s="12">
        <v>41649</v>
      </c>
      <c r="Q7" s="30">
        <f t="shared" si="0"/>
        <v>12</v>
      </c>
      <c r="R7" s="30">
        <v>0</v>
      </c>
      <c r="S7" s="30">
        <v>0</v>
      </c>
      <c r="T7" s="3">
        <v>49</v>
      </c>
      <c r="U7" s="3" t="s">
        <v>13</v>
      </c>
      <c r="V7" s="13">
        <v>41649</v>
      </c>
      <c r="W7" s="31">
        <f t="shared" si="2"/>
        <v>252</v>
      </c>
      <c r="X7" s="3">
        <v>1</v>
      </c>
      <c r="Y7" s="13">
        <v>41661</v>
      </c>
      <c r="Z7" s="3">
        <v>1510</v>
      </c>
      <c r="AA7" s="3">
        <v>1260</v>
      </c>
      <c r="AB7" s="3">
        <f t="shared" si="3"/>
        <v>264</v>
      </c>
      <c r="AC7" s="30">
        <v>8</v>
      </c>
      <c r="AD7" s="30">
        <v>1</v>
      </c>
      <c r="AE7" s="30">
        <v>1</v>
      </c>
      <c r="AF7" s="33">
        <v>1</v>
      </c>
      <c r="AG7" s="33">
        <v>0</v>
      </c>
      <c r="AH7" s="33" t="s">
        <v>13</v>
      </c>
      <c r="AI7" s="3" t="s">
        <v>13</v>
      </c>
      <c r="AJ7" s="4">
        <v>42545</v>
      </c>
      <c r="AK7" s="26">
        <f t="shared" si="1"/>
        <v>884</v>
      </c>
      <c r="AL7" s="37"/>
      <c r="AM7" s="37"/>
      <c r="AN7" s="42"/>
      <c r="AO7" s="41"/>
      <c r="AP7" s="40"/>
    </row>
    <row r="8" spans="1:42">
      <c r="A8" s="56">
        <v>6</v>
      </c>
      <c r="B8" s="2">
        <v>63</v>
      </c>
      <c r="C8" s="3">
        <v>1</v>
      </c>
      <c r="D8" s="3">
        <v>1</v>
      </c>
      <c r="E8" s="3">
        <v>3</v>
      </c>
      <c r="F8" s="30">
        <v>1</v>
      </c>
      <c r="G8" s="30">
        <v>2</v>
      </c>
      <c r="H8" s="11">
        <v>40018</v>
      </c>
      <c r="I8" s="3">
        <v>2</v>
      </c>
      <c r="J8" s="3">
        <v>2</v>
      </c>
      <c r="K8" s="3">
        <v>1</v>
      </c>
      <c r="L8" s="3">
        <v>2</v>
      </c>
      <c r="M8" s="30">
        <v>2</v>
      </c>
      <c r="N8" s="3">
        <v>2</v>
      </c>
      <c r="O8" s="3">
        <v>1</v>
      </c>
      <c r="P8" s="12">
        <v>40310</v>
      </c>
      <c r="Q8" s="30">
        <f t="shared" si="0"/>
        <v>1356</v>
      </c>
      <c r="R8" s="30">
        <v>0</v>
      </c>
      <c r="S8" s="30">
        <v>0</v>
      </c>
      <c r="T8" s="3">
        <v>89.4</v>
      </c>
      <c r="U8" s="3">
        <v>80</v>
      </c>
      <c r="V8" s="13">
        <v>41645</v>
      </c>
      <c r="W8" s="31">
        <f t="shared" si="2"/>
        <v>292</v>
      </c>
      <c r="X8" s="3">
        <v>1</v>
      </c>
      <c r="Y8" s="13">
        <v>41666</v>
      </c>
      <c r="Z8" s="3">
        <v>3180</v>
      </c>
      <c r="AA8" s="3">
        <v>1400</v>
      </c>
      <c r="AB8" s="3">
        <f t="shared" si="3"/>
        <v>1648</v>
      </c>
      <c r="AC8" s="30">
        <v>28</v>
      </c>
      <c r="AD8" s="30">
        <v>0</v>
      </c>
      <c r="AE8" s="30">
        <v>0</v>
      </c>
      <c r="AF8" s="33">
        <v>0</v>
      </c>
      <c r="AG8" s="33">
        <v>0</v>
      </c>
      <c r="AH8" s="34">
        <v>41845</v>
      </c>
      <c r="AI8" s="3">
        <f>DATEDIF(Y8,AH8,"d")</f>
        <v>179</v>
      </c>
      <c r="AJ8" s="4">
        <v>41845</v>
      </c>
      <c r="AK8" s="26">
        <f t="shared" si="1"/>
        <v>179</v>
      </c>
      <c r="AL8" s="37"/>
      <c r="AM8" s="37"/>
      <c r="AN8" s="42"/>
      <c r="AO8" s="41"/>
      <c r="AP8" s="40"/>
    </row>
    <row r="9" spans="1:42">
      <c r="A9" s="57"/>
      <c r="B9" s="7"/>
      <c r="C9" s="7"/>
      <c r="D9" s="7"/>
      <c r="E9" s="7"/>
      <c r="F9" s="7"/>
      <c r="G9" s="58"/>
      <c r="H9" s="7"/>
      <c r="I9" s="7"/>
      <c r="J9" s="58"/>
      <c r="K9" s="58"/>
      <c r="L9" s="58"/>
      <c r="M9" s="58"/>
      <c r="N9" s="7"/>
      <c r="O9" s="7"/>
      <c r="P9" s="14"/>
      <c r="Q9" s="14"/>
      <c r="R9" s="58"/>
      <c r="S9" s="58"/>
      <c r="T9" s="7"/>
      <c r="U9" s="7"/>
      <c r="V9" s="7"/>
      <c r="W9" s="7"/>
      <c r="X9" s="8"/>
      <c r="Y9" s="15"/>
      <c r="Z9" s="7"/>
      <c r="AA9" s="7"/>
      <c r="AB9" s="7"/>
      <c r="AC9" s="7"/>
      <c r="AD9" s="7"/>
      <c r="AE9" s="7"/>
      <c r="AF9" s="7"/>
      <c r="AG9" s="7"/>
      <c r="AH9" s="7"/>
      <c r="AI9" s="15"/>
      <c r="AJ9" s="16"/>
      <c r="AK9" s="16"/>
      <c r="AL9" s="37"/>
      <c r="AM9" s="37"/>
      <c r="AN9" s="44"/>
      <c r="AO9" s="44"/>
      <c r="AP9" s="43"/>
    </row>
    <row r="10" spans="1:42">
      <c r="A10" s="56">
        <v>8</v>
      </c>
      <c r="B10" s="2">
        <v>64</v>
      </c>
      <c r="C10" s="3">
        <v>2</v>
      </c>
      <c r="D10" s="3">
        <v>2</v>
      </c>
      <c r="E10" s="3">
        <v>1</v>
      </c>
      <c r="F10" s="30">
        <v>2</v>
      </c>
      <c r="G10" s="30">
        <v>2</v>
      </c>
      <c r="H10" s="11">
        <v>41607</v>
      </c>
      <c r="I10" s="3">
        <v>1</v>
      </c>
      <c r="J10" s="3">
        <v>1</v>
      </c>
      <c r="K10" s="3">
        <v>1</v>
      </c>
      <c r="L10" s="3">
        <v>1</v>
      </c>
      <c r="M10" s="30">
        <v>2</v>
      </c>
      <c r="N10" s="3">
        <v>2</v>
      </c>
      <c r="O10" s="3">
        <v>1</v>
      </c>
      <c r="P10" s="12">
        <v>41701</v>
      </c>
      <c r="Q10" s="30">
        <f t="shared" ref="Q10:Q19" si="4">DATEDIF(P10,Y10,"d")</f>
        <v>14</v>
      </c>
      <c r="R10" s="30">
        <v>0</v>
      </c>
      <c r="S10" s="30">
        <v>0</v>
      </c>
      <c r="T10" s="3" t="s">
        <v>13</v>
      </c>
      <c r="U10" s="3" t="s">
        <v>13</v>
      </c>
      <c r="V10" s="13">
        <v>41701</v>
      </c>
      <c r="W10" s="31">
        <f t="shared" si="2"/>
        <v>94</v>
      </c>
      <c r="X10" s="5">
        <v>1</v>
      </c>
      <c r="Y10" s="13">
        <v>41715</v>
      </c>
      <c r="Z10" s="3">
        <v>13580</v>
      </c>
      <c r="AA10" s="3">
        <v>340</v>
      </c>
      <c r="AB10" s="3">
        <f t="shared" si="3"/>
        <v>108</v>
      </c>
      <c r="AC10" s="30">
        <v>22.5</v>
      </c>
      <c r="AD10" s="30">
        <v>0</v>
      </c>
      <c r="AE10" s="30">
        <v>0</v>
      </c>
      <c r="AF10" s="33">
        <v>0</v>
      </c>
      <c r="AG10" s="33">
        <v>0</v>
      </c>
      <c r="AH10" s="34">
        <v>41918</v>
      </c>
      <c r="AI10" s="3">
        <f>DATEDIF(Y10,AH10,"d")</f>
        <v>203</v>
      </c>
      <c r="AJ10" s="4">
        <v>41918</v>
      </c>
      <c r="AK10" s="26">
        <f t="shared" ref="AK10:AK19" si="5">DATEDIF(Y10,AJ10,"d")</f>
        <v>203</v>
      </c>
      <c r="AL10" s="37"/>
      <c r="AM10" s="37"/>
      <c r="AN10" s="42"/>
      <c r="AO10" s="41"/>
      <c r="AP10" s="43"/>
    </row>
    <row r="11" spans="1:42">
      <c r="A11" s="56">
        <v>9</v>
      </c>
      <c r="B11" s="2">
        <v>55</v>
      </c>
      <c r="C11" s="3">
        <v>2</v>
      </c>
      <c r="D11" s="3">
        <v>2</v>
      </c>
      <c r="E11" s="3">
        <v>1</v>
      </c>
      <c r="F11" s="30">
        <v>1</v>
      </c>
      <c r="G11" s="30">
        <v>2</v>
      </c>
      <c r="H11" s="11">
        <v>41368</v>
      </c>
      <c r="I11" s="3">
        <v>2</v>
      </c>
      <c r="J11" s="3">
        <v>1</v>
      </c>
      <c r="K11" s="3">
        <v>1</v>
      </c>
      <c r="L11" s="3">
        <v>1</v>
      </c>
      <c r="M11" s="30">
        <v>2</v>
      </c>
      <c r="N11" s="3">
        <v>1</v>
      </c>
      <c r="O11" s="3">
        <v>0</v>
      </c>
      <c r="P11" s="17">
        <v>41548</v>
      </c>
      <c r="Q11" s="30">
        <f t="shared" si="4"/>
        <v>171</v>
      </c>
      <c r="R11" s="30">
        <v>0</v>
      </c>
      <c r="S11" s="30">
        <v>0</v>
      </c>
      <c r="T11" s="3">
        <v>100</v>
      </c>
      <c r="U11" s="3">
        <v>90</v>
      </c>
      <c r="V11" s="13">
        <v>41701</v>
      </c>
      <c r="W11" s="31">
        <f t="shared" si="2"/>
        <v>180</v>
      </c>
      <c r="X11" s="5">
        <v>1</v>
      </c>
      <c r="Y11" s="13">
        <v>41719</v>
      </c>
      <c r="Z11" s="3">
        <v>1800</v>
      </c>
      <c r="AA11" s="3" t="s">
        <v>13</v>
      </c>
      <c r="AB11" s="3">
        <f t="shared" si="3"/>
        <v>351</v>
      </c>
      <c r="AC11" s="30">
        <v>15</v>
      </c>
      <c r="AD11" s="30">
        <v>0</v>
      </c>
      <c r="AE11" s="30">
        <v>0</v>
      </c>
      <c r="AF11" s="33">
        <v>1</v>
      </c>
      <c r="AG11" s="33">
        <v>0</v>
      </c>
      <c r="AH11" s="33" t="s">
        <v>13</v>
      </c>
      <c r="AI11" s="3" t="s">
        <v>13</v>
      </c>
      <c r="AJ11" s="4">
        <v>42458</v>
      </c>
      <c r="AK11" s="26">
        <f t="shared" si="5"/>
        <v>739</v>
      </c>
      <c r="AL11" s="37"/>
      <c r="AM11" s="37"/>
      <c r="AN11" s="42"/>
      <c r="AO11" s="41"/>
      <c r="AP11" s="43"/>
    </row>
    <row r="12" spans="1:42">
      <c r="A12" s="56">
        <v>10</v>
      </c>
      <c r="B12" s="2">
        <v>66</v>
      </c>
      <c r="C12" s="3">
        <v>1</v>
      </c>
      <c r="D12" s="3">
        <v>1</v>
      </c>
      <c r="E12" s="3">
        <v>3</v>
      </c>
      <c r="F12" s="30">
        <v>2</v>
      </c>
      <c r="G12" s="30">
        <v>2</v>
      </c>
      <c r="H12" s="11">
        <v>41565</v>
      </c>
      <c r="I12" s="3">
        <v>2</v>
      </c>
      <c r="J12" s="3">
        <v>2</v>
      </c>
      <c r="K12" s="3">
        <v>1</v>
      </c>
      <c r="L12" s="3">
        <v>2</v>
      </c>
      <c r="M12" s="30">
        <v>2</v>
      </c>
      <c r="N12" s="3">
        <v>2</v>
      </c>
      <c r="O12" s="3">
        <v>0</v>
      </c>
      <c r="P12" s="12">
        <v>41708</v>
      </c>
      <c r="Q12" s="30">
        <f t="shared" si="4"/>
        <v>11</v>
      </c>
      <c r="R12" s="30">
        <v>0</v>
      </c>
      <c r="S12" s="30">
        <v>0</v>
      </c>
      <c r="T12" s="3">
        <v>75</v>
      </c>
      <c r="U12" s="3" t="s">
        <v>13</v>
      </c>
      <c r="V12" s="13">
        <v>41701</v>
      </c>
      <c r="W12" s="31">
        <f t="shared" si="2"/>
        <v>143</v>
      </c>
      <c r="X12" s="5">
        <v>1</v>
      </c>
      <c r="Y12" s="13">
        <v>41719</v>
      </c>
      <c r="Z12" s="3">
        <v>1230</v>
      </c>
      <c r="AA12" s="3">
        <v>540</v>
      </c>
      <c r="AB12" s="3">
        <f t="shared" si="3"/>
        <v>154</v>
      </c>
      <c r="AC12" s="30">
        <v>11</v>
      </c>
      <c r="AD12" s="30">
        <v>1</v>
      </c>
      <c r="AE12" s="30">
        <v>1</v>
      </c>
      <c r="AF12" s="33">
        <v>0</v>
      </c>
      <c r="AG12" s="33">
        <v>0</v>
      </c>
      <c r="AH12" s="34">
        <v>41842</v>
      </c>
      <c r="AI12" s="3">
        <f t="shared" ref="AI12:AI17" si="6">DATEDIF(Y12,AH12,"d")</f>
        <v>123</v>
      </c>
      <c r="AJ12" s="4">
        <v>41842</v>
      </c>
      <c r="AK12" s="26">
        <f t="shared" si="5"/>
        <v>123</v>
      </c>
      <c r="AL12" s="37"/>
      <c r="AM12" s="37"/>
      <c r="AN12" s="42"/>
      <c r="AO12" s="41"/>
      <c r="AP12" s="43"/>
    </row>
    <row r="13" spans="1:42">
      <c r="A13" s="56">
        <v>11</v>
      </c>
      <c r="B13" s="2">
        <v>61</v>
      </c>
      <c r="C13" s="3">
        <v>2</v>
      </c>
      <c r="D13" s="3">
        <v>2</v>
      </c>
      <c r="E13" s="3">
        <v>1</v>
      </c>
      <c r="F13" s="30">
        <v>1</v>
      </c>
      <c r="G13" s="30">
        <v>2</v>
      </c>
      <c r="H13" s="11">
        <v>41585</v>
      </c>
      <c r="I13" s="3">
        <v>2</v>
      </c>
      <c r="J13" s="3">
        <v>2</v>
      </c>
      <c r="K13" s="3">
        <v>1</v>
      </c>
      <c r="L13" s="3">
        <v>1</v>
      </c>
      <c r="M13" s="30">
        <v>2</v>
      </c>
      <c r="N13" s="3">
        <v>2</v>
      </c>
      <c r="O13" s="3">
        <v>1</v>
      </c>
      <c r="P13" s="12">
        <v>41660</v>
      </c>
      <c r="Q13" s="30">
        <f t="shared" si="4"/>
        <v>63</v>
      </c>
      <c r="R13" s="30">
        <v>0</v>
      </c>
      <c r="S13" s="30">
        <v>0</v>
      </c>
      <c r="T13" s="3">
        <v>86</v>
      </c>
      <c r="U13" s="3">
        <v>63</v>
      </c>
      <c r="V13" s="13">
        <v>41709</v>
      </c>
      <c r="W13" s="31">
        <f t="shared" si="2"/>
        <v>75</v>
      </c>
      <c r="X13" s="5">
        <v>1</v>
      </c>
      <c r="Y13" s="13">
        <v>41723</v>
      </c>
      <c r="Z13" s="3">
        <v>1800</v>
      </c>
      <c r="AA13" s="3" t="s">
        <v>32</v>
      </c>
      <c r="AB13" s="3">
        <f t="shared" si="3"/>
        <v>138</v>
      </c>
      <c r="AC13" s="30">
        <v>7.5</v>
      </c>
      <c r="AD13" s="30">
        <v>0</v>
      </c>
      <c r="AE13" s="30">
        <v>0</v>
      </c>
      <c r="AF13" s="33">
        <v>0</v>
      </c>
      <c r="AG13" s="33">
        <v>0</v>
      </c>
      <c r="AH13" s="34">
        <v>42066</v>
      </c>
      <c r="AI13" s="3">
        <f t="shared" si="6"/>
        <v>343</v>
      </c>
      <c r="AJ13" s="4">
        <v>42066</v>
      </c>
      <c r="AK13" s="26">
        <f t="shared" si="5"/>
        <v>343</v>
      </c>
      <c r="AL13" s="37"/>
      <c r="AM13" s="37"/>
      <c r="AN13" s="42"/>
      <c r="AO13" s="41"/>
      <c r="AP13" s="43"/>
    </row>
    <row r="14" spans="1:42">
      <c r="A14" s="56">
        <v>12</v>
      </c>
      <c r="B14" s="2">
        <v>56</v>
      </c>
      <c r="C14" s="3">
        <v>1</v>
      </c>
      <c r="D14" s="3">
        <v>1</v>
      </c>
      <c r="E14" s="3">
        <v>4</v>
      </c>
      <c r="F14" s="30">
        <v>2</v>
      </c>
      <c r="G14" s="30">
        <v>2</v>
      </c>
      <c r="H14" s="11">
        <v>41620</v>
      </c>
      <c r="I14" s="3">
        <v>2</v>
      </c>
      <c r="J14" s="3">
        <v>2</v>
      </c>
      <c r="K14" s="3">
        <v>1</v>
      </c>
      <c r="L14" s="3">
        <v>2</v>
      </c>
      <c r="M14" s="30">
        <v>2</v>
      </c>
      <c r="N14" s="3">
        <v>2</v>
      </c>
      <c r="O14" s="3">
        <v>1</v>
      </c>
      <c r="P14" s="12">
        <v>41747</v>
      </c>
      <c r="Q14" s="30">
        <f t="shared" si="4"/>
        <v>5</v>
      </c>
      <c r="R14" s="3">
        <v>0</v>
      </c>
      <c r="S14" s="30">
        <v>0</v>
      </c>
      <c r="T14" s="3" t="s">
        <v>13</v>
      </c>
      <c r="U14" s="3">
        <v>98.8</v>
      </c>
      <c r="V14" s="13">
        <v>41745</v>
      </c>
      <c r="W14" s="31">
        <f t="shared" si="2"/>
        <v>127</v>
      </c>
      <c r="X14" s="5">
        <v>1</v>
      </c>
      <c r="Y14" s="13">
        <v>41752</v>
      </c>
      <c r="Z14" s="3">
        <v>1900</v>
      </c>
      <c r="AA14" s="3">
        <v>520</v>
      </c>
      <c r="AB14" s="3">
        <f t="shared" si="3"/>
        <v>132</v>
      </c>
      <c r="AC14" s="30">
        <v>10.199999999999999</v>
      </c>
      <c r="AD14" s="30">
        <v>1</v>
      </c>
      <c r="AE14" s="30">
        <v>1</v>
      </c>
      <c r="AF14" s="33">
        <v>0</v>
      </c>
      <c r="AG14" s="33">
        <v>0</v>
      </c>
      <c r="AH14" s="34">
        <v>41787</v>
      </c>
      <c r="AI14" s="3">
        <f t="shared" si="6"/>
        <v>35</v>
      </c>
      <c r="AJ14" s="4">
        <v>41787</v>
      </c>
      <c r="AK14" s="26">
        <f t="shared" si="5"/>
        <v>35</v>
      </c>
      <c r="AL14" s="37"/>
      <c r="AM14" s="37"/>
      <c r="AN14" s="42"/>
      <c r="AO14" s="41"/>
      <c r="AP14" s="43"/>
    </row>
    <row r="15" spans="1:42">
      <c r="A15" s="56">
        <v>13</v>
      </c>
      <c r="B15" s="2">
        <v>60</v>
      </c>
      <c r="C15" s="3">
        <v>1</v>
      </c>
      <c r="D15" s="3">
        <v>2</v>
      </c>
      <c r="E15" s="3">
        <v>1</v>
      </c>
      <c r="F15" s="30">
        <v>1</v>
      </c>
      <c r="G15" s="30">
        <v>2</v>
      </c>
      <c r="H15" s="11">
        <v>41598</v>
      </c>
      <c r="I15" s="3">
        <v>2</v>
      </c>
      <c r="J15" s="3">
        <v>1</v>
      </c>
      <c r="K15" s="3">
        <v>1</v>
      </c>
      <c r="L15" s="3">
        <v>1</v>
      </c>
      <c r="M15" s="30">
        <v>2</v>
      </c>
      <c r="N15" s="3">
        <v>2</v>
      </c>
      <c r="O15" s="3">
        <v>1</v>
      </c>
      <c r="P15" s="12">
        <v>41729</v>
      </c>
      <c r="Q15" s="30">
        <f t="shared" si="4"/>
        <v>53</v>
      </c>
      <c r="R15" s="30">
        <v>0</v>
      </c>
      <c r="S15" s="30">
        <v>0</v>
      </c>
      <c r="T15" s="3">
        <v>7.6</v>
      </c>
      <c r="U15" s="3">
        <v>10.8</v>
      </c>
      <c r="V15" s="13">
        <v>41716</v>
      </c>
      <c r="W15" s="31">
        <f t="shared" si="2"/>
        <v>131</v>
      </c>
      <c r="X15" s="5">
        <v>1</v>
      </c>
      <c r="Y15" s="13">
        <v>41782</v>
      </c>
      <c r="Z15" s="3">
        <v>19190</v>
      </c>
      <c r="AA15" s="3">
        <v>1900</v>
      </c>
      <c r="AB15" s="3">
        <f t="shared" si="3"/>
        <v>184</v>
      </c>
      <c r="AC15" s="30">
        <v>15.4</v>
      </c>
      <c r="AD15" s="30">
        <v>0</v>
      </c>
      <c r="AE15" s="30">
        <v>0</v>
      </c>
      <c r="AF15" s="33">
        <v>0</v>
      </c>
      <c r="AG15" s="33">
        <v>0</v>
      </c>
      <c r="AH15" s="34">
        <v>41972</v>
      </c>
      <c r="AI15" s="3">
        <f t="shared" si="6"/>
        <v>190</v>
      </c>
      <c r="AJ15" s="4">
        <v>41972</v>
      </c>
      <c r="AK15" s="26">
        <f t="shared" si="5"/>
        <v>190</v>
      </c>
      <c r="AL15" s="37"/>
      <c r="AM15" s="37"/>
      <c r="AN15" s="42"/>
      <c r="AO15" s="41"/>
      <c r="AP15" s="43"/>
    </row>
    <row r="16" spans="1:42">
      <c r="A16" s="56">
        <v>14</v>
      </c>
      <c r="B16" s="2">
        <v>18</v>
      </c>
      <c r="C16" s="3">
        <v>1</v>
      </c>
      <c r="D16" s="3">
        <v>2</v>
      </c>
      <c r="E16" s="3">
        <v>1</v>
      </c>
      <c r="F16" s="30">
        <v>2</v>
      </c>
      <c r="G16" s="30">
        <v>2</v>
      </c>
      <c r="H16" s="11">
        <v>41688</v>
      </c>
      <c r="I16" s="3">
        <v>2</v>
      </c>
      <c r="J16" s="3">
        <v>2</v>
      </c>
      <c r="K16" s="3">
        <v>2</v>
      </c>
      <c r="L16" s="3">
        <v>1</v>
      </c>
      <c r="M16" s="30">
        <v>1</v>
      </c>
      <c r="N16" s="3">
        <v>1</v>
      </c>
      <c r="O16" s="3">
        <v>0</v>
      </c>
      <c r="P16" s="12">
        <v>41778</v>
      </c>
      <c r="Q16" s="30">
        <f t="shared" si="4"/>
        <v>4</v>
      </c>
      <c r="R16" s="30">
        <v>0</v>
      </c>
      <c r="S16" s="30">
        <v>0</v>
      </c>
      <c r="T16" s="3">
        <v>100</v>
      </c>
      <c r="U16" s="3">
        <v>100</v>
      </c>
      <c r="V16" s="13">
        <v>41771</v>
      </c>
      <c r="W16" s="31">
        <f t="shared" si="2"/>
        <v>90</v>
      </c>
      <c r="X16" s="5">
        <v>1</v>
      </c>
      <c r="Y16" s="13">
        <v>41782</v>
      </c>
      <c r="Z16" s="3">
        <v>1570</v>
      </c>
      <c r="AA16" s="3">
        <v>470</v>
      </c>
      <c r="AB16" s="3">
        <f t="shared" si="3"/>
        <v>94</v>
      </c>
      <c r="AC16" s="30">
        <v>8</v>
      </c>
      <c r="AD16" s="30">
        <v>0</v>
      </c>
      <c r="AE16" s="30">
        <v>1</v>
      </c>
      <c r="AF16" s="33">
        <v>0</v>
      </c>
      <c r="AG16" s="33">
        <v>0</v>
      </c>
      <c r="AH16" s="34">
        <v>41963</v>
      </c>
      <c r="AI16" s="3">
        <f t="shared" si="6"/>
        <v>181</v>
      </c>
      <c r="AJ16" s="4">
        <v>41963</v>
      </c>
      <c r="AK16" s="26">
        <f t="shared" si="5"/>
        <v>181</v>
      </c>
      <c r="AL16" s="37"/>
      <c r="AM16" s="37"/>
      <c r="AN16" s="42"/>
      <c r="AO16" s="41"/>
      <c r="AP16" s="43"/>
    </row>
    <row r="17" spans="1:42">
      <c r="A17" s="56">
        <v>15</v>
      </c>
      <c r="B17" s="2">
        <v>49</v>
      </c>
      <c r="C17" s="3">
        <v>1</v>
      </c>
      <c r="D17" s="3">
        <v>2</v>
      </c>
      <c r="E17" s="3">
        <v>1</v>
      </c>
      <c r="F17" s="30">
        <v>2</v>
      </c>
      <c r="G17" s="30">
        <v>2</v>
      </c>
      <c r="H17" s="11">
        <v>41718</v>
      </c>
      <c r="I17" s="3">
        <v>2</v>
      </c>
      <c r="J17" s="3">
        <v>1</v>
      </c>
      <c r="K17" s="3">
        <v>1</v>
      </c>
      <c r="L17" s="3">
        <v>1</v>
      </c>
      <c r="M17" s="30">
        <v>2</v>
      </c>
      <c r="N17" s="3">
        <v>1</v>
      </c>
      <c r="O17" s="3">
        <v>0</v>
      </c>
      <c r="P17" s="12">
        <v>41800</v>
      </c>
      <c r="Q17" s="30">
        <f t="shared" si="4"/>
        <v>14</v>
      </c>
      <c r="R17" s="30">
        <v>0</v>
      </c>
      <c r="S17" s="30">
        <v>0</v>
      </c>
      <c r="T17" s="3">
        <v>100</v>
      </c>
      <c r="U17" s="3">
        <v>100</v>
      </c>
      <c r="V17" s="13">
        <v>41793</v>
      </c>
      <c r="W17" s="31">
        <f t="shared" si="2"/>
        <v>82</v>
      </c>
      <c r="X17" s="5">
        <v>1</v>
      </c>
      <c r="Y17" s="13">
        <v>41814</v>
      </c>
      <c r="Z17" s="3">
        <v>2100</v>
      </c>
      <c r="AA17" s="24" t="s">
        <v>13</v>
      </c>
      <c r="AB17" s="3">
        <f t="shared" si="3"/>
        <v>96</v>
      </c>
      <c r="AC17" s="30">
        <v>10</v>
      </c>
      <c r="AD17" s="30">
        <v>0</v>
      </c>
      <c r="AE17" s="30">
        <v>0</v>
      </c>
      <c r="AF17" s="33">
        <v>0</v>
      </c>
      <c r="AG17" s="33">
        <v>0</v>
      </c>
      <c r="AH17" s="34">
        <v>41969</v>
      </c>
      <c r="AI17" s="3">
        <f t="shared" si="6"/>
        <v>155</v>
      </c>
      <c r="AJ17" s="4">
        <v>41969</v>
      </c>
      <c r="AK17" s="26">
        <f t="shared" si="5"/>
        <v>155</v>
      </c>
      <c r="AL17" s="37"/>
      <c r="AM17" s="37"/>
      <c r="AN17" s="42"/>
      <c r="AO17" s="41"/>
      <c r="AP17" s="43"/>
    </row>
    <row r="18" spans="1:42">
      <c r="A18" s="56">
        <v>16</v>
      </c>
      <c r="B18" s="2">
        <v>67</v>
      </c>
      <c r="C18" s="3">
        <v>2</v>
      </c>
      <c r="D18" s="3">
        <v>2</v>
      </c>
      <c r="E18" s="3">
        <v>1</v>
      </c>
      <c r="F18" s="30">
        <v>2</v>
      </c>
      <c r="G18" s="30">
        <v>2</v>
      </c>
      <c r="H18" s="11">
        <v>41719</v>
      </c>
      <c r="I18" s="3">
        <v>2</v>
      </c>
      <c r="J18" s="3">
        <v>2</v>
      </c>
      <c r="K18" s="3">
        <v>1</v>
      </c>
      <c r="L18" s="3">
        <v>1</v>
      </c>
      <c r="M18" s="30">
        <v>2</v>
      </c>
      <c r="N18" s="3">
        <v>2</v>
      </c>
      <c r="O18" s="3">
        <v>0</v>
      </c>
      <c r="P18" s="12">
        <v>41827</v>
      </c>
      <c r="Q18" s="30">
        <f t="shared" si="4"/>
        <v>4</v>
      </c>
      <c r="R18" s="30">
        <v>0</v>
      </c>
      <c r="S18" s="30">
        <v>0</v>
      </c>
      <c r="T18" s="3" t="s">
        <v>13</v>
      </c>
      <c r="U18" s="3">
        <v>70.5</v>
      </c>
      <c r="V18" s="13">
        <v>41820</v>
      </c>
      <c r="W18" s="31">
        <f t="shared" si="2"/>
        <v>108</v>
      </c>
      <c r="X18" s="5">
        <v>1</v>
      </c>
      <c r="Y18" s="13">
        <v>41831</v>
      </c>
      <c r="Z18" s="3">
        <v>2000</v>
      </c>
      <c r="AA18" s="3">
        <v>570</v>
      </c>
      <c r="AB18" s="3">
        <f t="shared" si="3"/>
        <v>112</v>
      </c>
      <c r="AC18" s="30">
        <v>8</v>
      </c>
      <c r="AD18" s="30">
        <v>0</v>
      </c>
      <c r="AE18" s="30">
        <v>1</v>
      </c>
      <c r="AF18" s="33">
        <v>1</v>
      </c>
      <c r="AG18" s="33">
        <v>1</v>
      </c>
      <c r="AH18" s="33" t="s">
        <v>13</v>
      </c>
      <c r="AI18" s="3" t="s">
        <v>13</v>
      </c>
      <c r="AJ18" s="4">
        <v>42499</v>
      </c>
      <c r="AK18" s="26">
        <f t="shared" si="5"/>
        <v>668</v>
      </c>
      <c r="AL18" s="37"/>
      <c r="AM18" s="37"/>
      <c r="AN18" s="42"/>
      <c r="AO18" s="41"/>
      <c r="AP18" s="43"/>
    </row>
    <row r="19" spans="1:42">
      <c r="A19" s="56">
        <v>17</v>
      </c>
      <c r="B19" s="2">
        <v>61</v>
      </c>
      <c r="C19" s="3">
        <v>1</v>
      </c>
      <c r="D19" s="3">
        <v>1</v>
      </c>
      <c r="E19" s="3">
        <v>1</v>
      </c>
      <c r="F19" s="30">
        <v>2</v>
      </c>
      <c r="G19" s="30">
        <v>2</v>
      </c>
      <c r="H19" s="11">
        <v>41696</v>
      </c>
      <c r="I19" s="3">
        <v>2</v>
      </c>
      <c r="J19" s="3">
        <v>2</v>
      </c>
      <c r="K19" s="3">
        <v>1</v>
      </c>
      <c r="L19" s="3">
        <v>1</v>
      </c>
      <c r="M19" s="30">
        <v>2</v>
      </c>
      <c r="N19" s="3">
        <v>2</v>
      </c>
      <c r="O19" s="3">
        <v>1</v>
      </c>
      <c r="P19" s="12">
        <v>41747</v>
      </c>
      <c r="Q19" s="30">
        <f t="shared" si="4"/>
        <v>108</v>
      </c>
      <c r="R19" s="30">
        <v>0</v>
      </c>
      <c r="S19" s="30">
        <v>0</v>
      </c>
      <c r="T19" s="3" t="s">
        <v>13</v>
      </c>
      <c r="U19" s="3">
        <v>89</v>
      </c>
      <c r="V19" s="13">
        <v>41842</v>
      </c>
      <c r="W19" s="31">
        <f t="shared" si="2"/>
        <v>51</v>
      </c>
      <c r="X19" s="5">
        <v>1</v>
      </c>
      <c r="Y19" s="13">
        <v>41855</v>
      </c>
      <c r="Z19" s="3">
        <v>1100</v>
      </c>
      <c r="AA19" s="3">
        <v>699</v>
      </c>
      <c r="AB19" s="3">
        <f t="shared" si="3"/>
        <v>159</v>
      </c>
      <c r="AC19" s="30">
        <v>14.5</v>
      </c>
      <c r="AD19" s="30">
        <v>0</v>
      </c>
      <c r="AE19" s="30">
        <v>0</v>
      </c>
      <c r="AF19" s="33">
        <v>0</v>
      </c>
      <c r="AG19" s="33">
        <v>0</v>
      </c>
      <c r="AH19" s="34">
        <v>41908</v>
      </c>
      <c r="AI19" s="3">
        <f>DATEDIF(Y19,AH19,"d")</f>
        <v>53</v>
      </c>
      <c r="AJ19" s="4">
        <v>41908</v>
      </c>
      <c r="AK19" s="26">
        <f t="shared" si="5"/>
        <v>53</v>
      </c>
      <c r="AL19" s="37"/>
      <c r="AM19" s="37"/>
      <c r="AN19" s="42"/>
      <c r="AO19" s="41"/>
      <c r="AP19" s="43"/>
    </row>
    <row r="20" spans="1:42">
      <c r="A20" s="57"/>
      <c r="B20" s="7"/>
      <c r="C20" s="7"/>
      <c r="D20" s="7"/>
      <c r="E20" s="7"/>
      <c r="F20" s="7"/>
      <c r="G20" s="58"/>
      <c r="H20" s="7"/>
      <c r="I20" s="7"/>
      <c r="J20" s="7"/>
      <c r="K20" s="7"/>
      <c r="L20" s="7"/>
      <c r="M20" s="7"/>
      <c r="N20" s="7"/>
      <c r="O20" s="7"/>
      <c r="P20" s="14"/>
      <c r="Q20" s="14"/>
      <c r="R20" s="58"/>
      <c r="S20" s="58"/>
      <c r="T20" s="7"/>
      <c r="U20" s="7"/>
      <c r="V20" s="7"/>
      <c r="W20" s="7"/>
      <c r="X20" s="7"/>
      <c r="Y20" s="15"/>
      <c r="Z20" s="7"/>
      <c r="AA20" s="7"/>
      <c r="AB20" s="7"/>
      <c r="AC20" s="7"/>
      <c r="AD20" s="7"/>
      <c r="AE20" s="7"/>
      <c r="AF20" s="7"/>
      <c r="AG20" s="7"/>
      <c r="AH20" s="7"/>
      <c r="AI20" s="15"/>
      <c r="AJ20" s="16"/>
      <c r="AK20" s="16"/>
      <c r="AL20" s="37"/>
      <c r="AM20" s="37"/>
      <c r="AN20" s="44"/>
      <c r="AO20" s="44"/>
      <c r="AP20" s="40"/>
    </row>
    <row r="21" spans="1:42">
      <c r="A21" s="56">
        <v>19</v>
      </c>
      <c r="B21" s="2">
        <v>61</v>
      </c>
      <c r="C21" s="3">
        <v>2</v>
      </c>
      <c r="D21" s="3">
        <v>2</v>
      </c>
      <c r="E21" s="3">
        <v>1</v>
      </c>
      <c r="F21" s="30">
        <v>2</v>
      </c>
      <c r="G21" s="30">
        <v>2</v>
      </c>
      <c r="H21" s="11">
        <v>41752</v>
      </c>
      <c r="I21" s="3">
        <v>2</v>
      </c>
      <c r="J21" s="3">
        <v>2</v>
      </c>
      <c r="K21" s="3">
        <v>2</v>
      </c>
      <c r="L21" s="3">
        <v>2</v>
      </c>
      <c r="M21" s="30">
        <v>2</v>
      </c>
      <c r="N21" s="3">
        <v>2</v>
      </c>
      <c r="O21" s="3">
        <v>1</v>
      </c>
      <c r="P21" s="12">
        <v>41897</v>
      </c>
      <c r="Q21" s="30">
        <f t="shared" ref="Q21:Q37" si="7">DATEDIF(P21,Y21,"d")</f>
        <v>25</v>
      </c>
      <c r="R21" s="30">
        <v>0</v>
      </c>
      <c r="S21" s="30">
        <v>0</v>
      </c>
      <c r="T21" s="3" t="s">
        <v>13</v>
      </c>
      <c r="U21" s="3">
        <v>37</v>
      </c>
      <c r="V21" s="13">
        <v>41892</v>
      </c>
      <c r="W21" s="31">
        <f t="shared" si="2"/>
        <v>145</v>
      </c>
      <c r="X21" s="3">
        <v>1</v>
      </c>
      <c r="Y21" s="13">
        <v>41922</v>
      </c>
      <c r="Z21" s="3">
        <v>4600</v>
      </c>
      <c r="AA21" s="3">
        <v>1400</v>
      </c>
      <c r="AB21" s="3">
        <f t="shared" si="3"/>
        <v>170</v>
      </c>
      <c r="AC21" s="30">
        <v>9</v>
      </c>
      <c r="AD21" s="30">
        <v>0</v>
      </c>
      <c r="AE21" s="30">
        <v>0</v>
      </c>
      <c r="AF21" s="33">
        <v>0</v>
      </c>
      <c r="AG21" s="33">
        <v>0</v>
      </c>
      <c r="AH21" s="34">
        <v>42125</v>
      </c>
      <c r="AI21" s="3">
        <f t="shared" ref="AI21:AI37" si="8">DATEDIF(Y21,AH21,"d")</f>
        <v>203</v>
      </c>
      <c r="AJ21" s="4">
        <v>42125</v>
      </c>
      <c r="AK21" s="26">
        <f t="shared" ref="AK21:AK37" si="9">DATEDIF(Y21,AJ21,"d")</f>
        <v>203</v>
      </c>
      <c r="AL21" s="37"/>
      <c r="AM21" s="37"/>
      <c r="AN21" s="42"/>
      <c r="AO21" s="41"/>
      <c r="AP21" s="40"/>
    </row>
    <row r="22" spans="1:42">
      <c r="A22" s="56">
        <v>20</v>
      </c>
      <c r="B22" s="2">
        <v>73</v>
      </c>
      <c r="C22" s="3">
        <v>2</v>
      </c>
      <c r="D22" s="3">
        <v>2</v>
      </c>
      <c r="E22" s="3">
        <v>1</v>
      </c>
      <c r="F22" s="30">
        <v>1</v>
      </c>
      <c r="G22" s="30">
        <v>1</v>
      </c>
      <c r="H22" s="11">
        <v>41733</v>
      </c>
      <c r="I22" s="3">
        <v>2</v>
      </c>
      <c r="J22" s="3">
        <v>2</v>
      </c>
      <c r="K22" s="3">
        <v>1</v>
      </c>
      <c r="L22" s="3">
        <v>1</v>
      </c>
      <c r="M22" s="30">
        <v>2</v>
      </c>
      <c r="N22" s="3">
        <v>2</v>
      </c>
      <c r="O22" s="3">
        <v>0</v>
      </c>
      <c r="P22" s="12">
        <v>41935</v>
      </c>
      <c r="Q22" s="30">
        <f t="shared" si="7"/>
        <v>6</v>
      </c>
      <c r="R22" s="30">
        <v>0</v>
      </c>
      <c r="S22" s="30">
        <v>0</v>
      </c>
      <c r="T22" s="3">
        <v>24.4</v>
      </c>
      <c r="U22" s="3">
        <v>95</v>
      </c>
      <c r="V22" s="13">
        <v>41928</v>
      </c>
      <c r="W22" s="31">
        <f t="shared" si="2"/>
        <v>202</v>
      </c>
      <c r="X22" s="3">
        <v>1</v>
      </c>
      <c r="Y22" s="13">
        <v>41941</v>
      </c>
      <c r="Z22" s="3">
        <v>34550</v>
      </c>
      <c r="AA22" s="3">
        <v>7950</v>
      </c>
      <c r="AB22" s="3">
        <f t="shared" si="3"/>
        <v>208</v>
      </c>
      <c r="AC22" s="30">
        <v>10</v>
      </c>
      <c r="AD22" s="30">
        <v>0</v>
      </c>
      <c r="AE22" s="30">
        <v>0</v>
      </c>
      <c r="AF22" s="33">
        <v>0</v>
      </c>
      <c r="AG22" s="33">
        <v>0</v>
      </c>
      <c r="AH22" s="34">
        <v>42091</v>
      </c>
      <c r="AI22" s="3">
        <f t="shared" si="8"/>
        <v>150</v>
      </c>
      <c r="AJ22" s="4">
        <v>42091</v>
      </c>
      <c r="AK22" s="26">
        <f t="shared" si="9"/>
        <v>150</v>
      </c>
      <c r="AL22" s="37"/>
      <c r="AM22" s="37"/>
      <c r="AN22" s="42"/>
      <c r="AO22" s="41"/>
      <c r="AP22" s="40"/>
    </row>
    <row r="23" spans="1:42">
      <c r="A23" s="56">
        <v>21</v>
      </c>
      <c r="B23" s="2">
        <v>68</v>
      </c>
      <c r="C23" s="3">
        <v>2</v>
      </c>
      <c r="D23" s="3">
        <v>2</v>
      </c>
      <c r="E23" s="3">
        <v>1</v>
      </c>
      <c r="F23" s="30">
        <v>1</v>
      </c>
      <c r="G23" s="30">
        <v>2</v>
      </c>
      <c r="H23" s="11">
        <v>41717</v>
      </c>
      <c r="I23" s="3">
        <v>2</v>
      </c>
      <c r="J23" s="3">
        <v>2</v>
      </c>
      <c r="K23" s="3">
        <v>2</v>
      </c>
      <c r="L23" s="3">
        <v>1</v>
      </c>
      <c r="M23" s="30">
        <v>2</v>
      </c>
      <c r="N23" s="3">
        <v>2</v>
      </c>
      <c r="O23" s="3">
        <v>1</v>
      </c>
      <c r="P23" s="12">
        <v>41927</v>
      </c>
      <c r="Q23" s="30">
        <f t="shared" si="7"/>
        <v>68</v>
      </c>
      <c r="R23" s="30">
        <v>0</v>
      </c>
      <c r="S23" s="30">
        <v>0</v>
      </c>
      <c r="T23" s="3" t="s">
        <v>13</v>
      </c>
      <c r="U23" s="3" t="s">
        <v>13</v>
      </c>
      <c r="V23" s="13">
        <v>41912</v>
      </c>
      <c r="W23" s="31">
        <f t="shared" si="2"/>
        <v>210</v>
      </c>
      <c r="X23" s="3">
        <v>1</v>
      </c>
      <c r="Y23" s="13">
        <v>41995</v>
      </c>
      <c r="Z23" s="3">
        <v>3230</v>
      </c>
      <c r="AA23" s="3">
        <v>2700</v>
      </c>
      <c r="AB23" s="3">
        <f t="shared" si="3"/>
        <v>278</v>
      </c>
      <c r="AC23" s="30">
        <v>23</v>
      </c>
      <c r="AD23" s="30">
        <v>0</v>
      </c>
      <c r="AE23" s="30">
        <v>0</v>
      </c>
      <c r="AF23" s="33">
        <v>0</v>
      </c>
      <c r="AG23" s="33">
        <v>0</v>
      </c>
      <c r="AH23" s="34">
        <v>42093</v>
      </c>
      <c r="AI23" s="3">
        <f t="shared" si="8"/>
        <v>98</v>
      </c>
      <c r="AJ23" s="4">
        <v>42093</v>
      </c>
      <c r="AK23" s="26">
        <f t="shared" si="9"/>
        <v>98</v>
      </c>
      <c r="AL23" s="37"/>
      <c r="AM23" s="37"/>
      <c r="AN23" s="42"/>
      <c r="AO23" s="41"/>
      <c r="AP23" s="40"/>
    </row>
    <row r="24" spans="1:42">
      <c r="A24" s="56">
        <v>22</v>
      </c>
      <c r="B24" s="2">
        <v>45</v>
      </c>
      <c r="C24" s="3">
        <v>2</v>
      </c>
      <c r="D24" s="3">
        <v>2</v>
      </c>
      <c r="E24" s="3">
        <v>2</v>
      </c>
      <c r="F24" s="30">
        <v>2</v>
      </c>
      <c r="G24" s="30">
        <v>2</v>
      </c>
      <c r="H24" s="11">
        <v>41893</v>
      </c>
      <c r="I24" s="3">
        <v>2</v>
      </c>
      <c r="J24" s="3">
        <v>2</v>
      </c>
      <c r="K24" s="3">
        <v>2</v>
      </c>
      <c r="L24" s="3">
        <v>1</v>
      </c>
      <c r="M24" s="30">
        <v>2</v>
      </c>
      <c r="N24" s="3">
        <v>2</v>
      </c>
      <c r="O24" s="3">
        <v>0</v>
      </c>
      <c r="P24" s="12">
        <v>42004</v>
      </c>
      <c r="Q24" s="30">
        <f t="shared" si="7"/>
        <v>5</v>
      </c>
      <c r="R24" s="30">
        <v>0</v>
      </c>
      <c r="S24" s="30">
        <v>0</v>
      </c>
      <c r="T24" s="3">
        <v>80</v>
      </c>
      <c r="U24" s="3" t="s">
        <v>13</v>
      </c>
      <c r="V24" s="13">
        <v>42003</v>
      </c>
      <c r="W24" s="31">
        <f t="shared" si="2"/>
        <v>111</v>
      </c>
      <c r="X24" s="3">
        <v>1</v>
      </c>
      <c r="Y24" s="13">
        <v>42009</v>
      </c>
      <c r="Z24" s="3">
        <v>1670</v>
      </c>
      <c r="AA24" s="3">
        <v>370</v>
      </c>
      <c r="AB24" s="3">
        <f t="shared" si="3"/>
        <v>116</v>
      </c>
      <c r="AC24" s="30">
        <v>25</v>
      </c>
      <c r="AD24" s="30">
        <v>0</v>
      </c>
      <c r="AE24" s="30">
        <v>0</v>
      </c>
      <c r="AF24" s="33">
        <v>0</v>
      </c>
      <c r="AG24" s="33">
        <v>0</v>
      </c>
      <c r="AH24" s="34">
        <v>42094</v>
      </c>
      <c r="AI24" s="3">
        <f t="shared" si="8"/>
        <v>85</v>
      </c>
      <c r="AJ24" s="4">
        <v>42094</v>
      </c>
      <c r="AK24" s="26">
        <f t="shared" si="9"/>
        <v>85</v>
      </c>
      <c r="AL24" s="37"/>
      <c r="AM24" s="37"/>
      <c r="AN24" s="42"/>
      <c r="AO24" s="41"/>
      <c r="AP24" s="40"/>
    </row>
    <row r="25" spans="1:42">
      <c r="A25" s="56">
        <v>23</v>
      </c>
      <c r="B25" s="2">
        <v>30</v>
      </c>
      <c r="C25" s="3">
        <v>2</v>
      </c>
      <c r="D25" s="3">
        <v>2</v>
      </c>
      <c r="E25" s="3">
        <v>1</v>
      </c>
      <c r="F25" s="30">
        <v>1</v>
      </c>
      <c r="G25" s="30">
        <v>2</v>
      </c>
      <c r="H25" s="11">
        <v>41758</v>
      </c>
      <c r="I25" s="3">
        <v>2</v>
      </c>
      <c r="J25" s="3">
        <v>2</v>
      </c>
      <c r="K25" s="3">
        <v>2</v>
      </c>
      <c r="L25" s="3">
        <v>1</v>
      </c>
      <c r="M25" s="30">
        <v>2</v>
      </c>
      <c r="N25" s="3">
        <v>1</v>
      </c>
      <c r="O25" s="3">
        <v>0</v>
      </c>
      <c r="P25" s="12">
        <v>42004</v>
      </c>
      <c r="Q25" s="30">
        <f t="shared" si="7"/>
        <v>5</v>
      </c>
      <c r="R25" s="30">
        <v>0</v>
      </c>
      <c r="S25" s="30">
        <v>0</v>
      </c>
      <c r="T25" s="3">
        <v>70</v>
      </c>
      <c r="U25" s="3" t="s">
        <v>13</v>
      </c>
      <c r="V25" s="13">
        <v>42004</v>
      </c>
      <c r="W25" s="31">
        <f t="shared" si="2"/>
        <v>246</v>
      </c>
      <c r="X25" s="3">
        <v>1</v>
      </c>
      <c r="Y25" s="13">
        <v>42009</v>
      </c>
      <c r="Z25" s="3">
        <v>1510</v>
      </c>
      <c r="AA25" s="3">
        <v>810</v>
      </c>
      <c r="AB25" s="3">
        <f t="shared" si="3"/>
        <v>251</v>
      </c>
      <c r="AC25" s="30">
        <v>17.5</v>
      </c>
      <c r="AD25" s="30">
        <v>0</v>
      </c>
      <c r="AE25" s="30">
        <v>0</v>
      </c>
      <c r="AF25" s="33">
        <v>0</v>
      </c>
      <c r="AG25" s="33">
        <v>0</v>
      </c>
      <c r="AH25" s="34">
        <v>42475</v>
      </c>
      <c r="AI25" s="3">
        <f t="shared" si="8"/>
        <v>466</v>
      </c>
      <c r="AJ25" s="4">
        <v>42475</v>
      </c>
      <c r="AK25" s="26">
        <f t="shared" si="9"/>
        <v>466</v>
      </c>
      <c r="AL25" s="37"/>
      <c r="AM25" s="37"/>
      <c r="AN25" s="42"/>
      <c r="AO25" s="41"/>
      <c r="AP25" s="40"/>
    </row>
    <row r="26" spans="1:42">
      <c r="A26" s="56">
        <v>24</v>
      </c>
      <c r="B26" s="2">
        <v>33</v>
      </c>
      <c r="C26" s="3">
        <v>2</v>
      </c>
      <c r="D26" s="3">
        <v>2</v>
      </c>
      <c r="E26" s="3">
        <v>1</v>
      </c>
      <c r="F26" s="30">
        <v>2</v>
      </c>
      <c r="G26" s="30">
        <v>2</v>
      </c>
      <c r="H26" s="11">
        <v>41914</v>
      </c>
      <c r="I26" s="3">
        <v>2</v>
      </c>
      <c r="J26" s="3">
        <v>2</v>
      </c>
      <c r="K26" s="3">
        <v>1</v>
      </c>
      <c r="L26" s="3">
        <v>2</v>
      </c>
      <c r="M26" s="30">
        <v>2</v>
      </c>
      <c r="N26" s="3">
        <v>1</v>
      </c>
      <c r="O26" s="3">
        <v>0</v>
      </c>
      <c r="P26" s="12">
        <v>42011</v>
      </c>
      <c r="Q26" s="30">
        <f t="shared" si="7"/>
        <v>5</v>
      </c>
      <c r="R26" s="30">
        <v>0</v>
      </c>
      <c r="S26" s="30">
        <v>0</v>
      </c>
      <c r="T26" s="3">
        <v>92</v>
      </c>
      <c r="U26" s="3" t="s">
        <v>22</v>
      </c>
      <c r="V26" s="13">
        <v>42011</v>
      </c>
      <c r="W26" s="31">
        <f t="shared" si="2"/>
        <v>97</v>
      </c>
      <c r="X26" s="3">
        <v>1</v>
      </c>
      <c r="Y26" s="13">
        <v>42016</v>
      </c>
      <c r="Z26" s="3">
        <v>1380</v>
      </c>
      <c r="AA26" s="3">
        <v>740</v>
      </c>
      <c r="AB26" s="3">
        <f t="shared" si="3"/>
        <v>102</v>
      </c>
      <c r="AC26" s="30">
        <v>18</v>
      </c>
      <c r="AD26" s="30">
        <v>0</v>
      </c>
      <c r="AE26" s="30">
        <v>0</v>
      </c>
      <c r="AF26" s="33">
        <v>0</v>
      </c>
      <c r="AG26" s="33">
        <v>0</v>
      </c>
      <c r="AH26" s="34">
        <v>42098</v>
      </c>
      <c r="AI26" s="3">
        <f t="shared" si="8"/>
        <v>82</v>
      </c>
      <c r="AJ26" s="4">
        <v>42098</v>
      </c>
      <c r="AK26" s="26">
        <f t="shared" si="9"/>
        <v>82</v>
      </c>
      <c r="AL26" s="37"/>
      <c r="AM26" s="37"/>
      <c r="AN26" s="42"/>
      <c r="AO26" s="41"/>
      <c r="AP26" s="40"/>
    </row>
    <row r="27" spans="1:42">
      <c r="A27" s="56">
        <v>25</v>
      </c>
      <c r="B27" s="2">
        <v>59</v>
      </c>
      <c r="C27" s="3">
        <v>2</v>
      </c>
      <c r="D27" s="3">
        <v>2</v>
      </c>
      <c r="E27" s="3">
        <v>1</v>
      </c>
      <c r="F27" s="30">
        <v>1</v>
      </c>
      <c r="G27" s="30">
        <v>2</v>
      </c>
      <c r="H27" s="11">
        <v>41508</v>
      </c>
      <c r="I27" s="3">
        <v>2</v>
      </c>
      <c r="J27" s="3">
        <v>2</v>
      </c>
      <c r="K27" s="3">
        <v>1</v>
      </c>
      <c r="L27" s="3">
        <v>2</v>
      </c>
      <c r="M27" s="30">
        <v>2</v>
      </c>
      <c r="N27" s="3">
        <v>2</v>
      </c>
      <c r="O27" s="3">
        <v>1</v>
      </c>
      <c r="P27" s="12">
        <v>41795</v>
      </c>
      <c r="Q27" s="30">
        <f t="shared" si="7"/>
        <v>224</v>
      </c>
      <c r="R27" s="30">
        <v>0</v>
      </c>
      <c r="S27" s="30">
        <v>0</v>
      </c>
      <c r="T27" s="3">
        <v>100</v>
      </c>
      <c r="U27" s="3" t="s">
        <v>13</v>
      </c>
      <c r="V27" s="13">
        <v>42012</v>
      </c>
      <c r="W27" s="31">
        <f t="shared" si="2"/>
        <v>287</v>
      </c>
      <c r="X27" s="3">
        <v>1</v>
      </c>
      <c r="Y27" s="13">
        <v>42019</v>
      </c>
      <c r="Z27" s="3">
        <v>5760</v>
      </c>
      <c r="AA27" s="3">
        <v>3440</v>
      </c>
      <c r="AB27" s="3">
        <f t="shared" si="3"/>
        <v>511</v>
      </c>
      <c r="AC27" s="30">
        <v>6</v>
      </c>
      <c r="AD27" s="30">
        <v>1</v>
      </c>
      <c r="AE27" s="30">
        <v>1</v>
      </c>
      <c r="AF27" s="33">
        <v>0</v>
      </c>
      <c r="AG27" s="33">
        <v>0</v>
      </c>
      <c r="AH27" s="34">
        <v>42221</v>
      </c>
      <c r="AI27" s="3">
        <f t="shared" si="8"/>
        <v>202</v>
      </c>
      <c r="AJ27" s="4">
        <v>42221</v>
      </c>
      <c r="AK27" s="26">
        <f t="shared" si="9"/>
        <v>202</v>
      </c>
      <c r="AL27" s="37"/>
      <c r="AM27" s="37"/>
      <c r="AN27" s="42"/>
      <c r="AO27" s="41"/>
      <c r="AP27" s="40"/>
    </row>
    <row r="28" spans="1:42">
      <c r="A28" s="56">
        <v>26</v>
      </c>
      <c r="B28" s="2">
        <v>64</v>
      </c>
      <c r="C28" s="3">
        <v>1</v>
      </c>
      <c r="D28" s="3">
        <v>2</v>
      </c>
      <c r="E28" s="3">
        <v>1</v>
      </c>
      <c r="F28" s="30">
        <v>1</v>
      </c>
      <c r="G28" s="30">
        <v>1</v>
      </c>
      <c r="H28" s="11">
        <v>41689</v>
      </c>
      <c r="I28" s="3">
        <v>2</v>
      </c>
      <c r="J28" s="3">
        <v>2</v>
      </c>
      <c r="K28" s="3">
        <v>1</v>
      </c>
      <c r="L28" s="3">
        <v>1</v>
      </c>
      <c r="M28" s="30">
        <v>2</v>
      </c>
      <c r="N28" s="3">
        <v>2</v>
      </c>
      <c r="O28" s="3">
        <v>0</v>
      </c>
      <c r="P28" s="12">
        <v>41977</v>
      </c>
      <c r="Q28" s="30">
        <f t="shared" si="7"/>
        <v>53</v>
      </c>
      <c r="R28" s="30">
        <v>0</v>
      </c>
      <c r="S28" s="30">
        <v>0</v>
      </c>
      <c r="T28" s="3">
        <v>88.6</v>
      </c>
      <c r="U28" s="3">
        <v>88.5</v>
      </c>
      <c r="V28" s="13">
        <v>42013</v>
      </c>
      <c r="W28" s="31">
        <f t="shared" si="2"/>
        <v>288</v>
      </c>
      <c r="X28" s="5">
        <v>1</v>
      </c>
      <c r="Y28" s="13">
        <v>42030</v>
      </c>
      <c r="Z28" s="3">
        <v>2800</v>
      </c>
      <c r="AA28" s="3">
        <v>1600</v>
      </c>
      <c r="AB28" s="3">
        <f t="shared" si="3"/>
        <v>341</v>
      </c>
      <c r="AC28" s="30">
        <v>26</v>
      </c>
      <c r="AD28" s="30">
        <v>0</v>
      </c>
      <c r="AE28" s="30">
        <v>0</v>
      </c>
      <c r="AF28" s="33">
        <v>0</v>
      </c>
      <c r="AG28" s="33">
        <v>0</v>
      </c>
      <c r="AH28" s="34">
        <v>42108</v>
      </c>
      <c r="AI28" s="3">
        <f t="shared" si="8"/>
        <v>78</v>
      </c>
      <c r="AJ28" s="4">
        <v>42108</v>
      </c>
      <c r="AK28" s="26">
        <f t="shared" si="9"/>
        <v>78</v>
      </c>
      <c r="AL28" s="37"/>
      <c r="AM28" s="37"/>
      <c r="AN28" s="42"/>
      <c r="AO28" s="41"/>
      <c r="AP28" s="43"/>
    </row>
    <row r="29" spans="1:42">
      <c r="A29" s="56">
        <v>27</v>
      </c>
      <c r="B29" s="2">
        <v>49</v>
      </c>
      <c r="C29" s="3">
        <v>2</v>
      </c>
      <c r="D29" s="3">
        <v>1</v>
      </c>
      <c r="E29" s="3">
        <v>4</v>
      </c>
      <c r="F29" s="30">
        <v>1</v>
      </c>
      <c r="G29" s="30">
        <v>2</v>
      </c>
      <c r="H29" s="11">
        <v>41628</v>
      </c>
      <c r="I29" s="3">
        <v>2</v>
      </c>
      <c r="J29" s="3">
        <v>1</v>
      </c>
      <c r="K29" s="3">
        <v>1</v>
      </c>
      <c r="L29" s="3">
        <v>1</v>
      </c>
      <c r="M29" s="30">
        <v>2</v>
      </c>
      <c r="N29" s="3">
        <v>1</v>
      </c>
      <c r="O29" s="3">
        <v>1</v>
      </c>
      <c r="P29" s="12">
        <v>41942</v>
      </c>
      <c r="Q29" s="30">
        <f t="shared" si="7"/>
        <v>95</v>
      </c>
      <c r="R29" s="30">
        <v>0</v>
      </c>
      <c r="S29" s="30">
        <v>0</v>
      </c>
      <c r="T29" s="3">
        <v>94.2</v>
      </c>
      <c r="U29" s="3" t="s">
        <v>22</v>
      </c>
      <c r="V29" s="13">
        <v>42017</v>
      </c>
      <c r="W29" s="31">
        <f t="shared" si="2"/>
        <v>314</v>
      </c>
      <c r="X29" s="3">
        <v>1</v>
      </c>
      <c r="Y29" s="13">
        <v>42037</v>
      </c>
      <c r="Z29" s="3">
        <v>2430</v>
      </c>
      <c r="AA29" s="3">
        <v>1880</v>
      </c>
      <c r="AB29" s="3">
        <f t="shared" si="3"/>
        <v>409</v>
      </c>
      <c r="AC29" s="30">
        <v>6</v>
      </c>
      <c r="AD29" s="30">
        <v>0</v>
      </c>
      <c r="AE29" s="30">
        <v>0</v>
      </c>
      <c r="AF29" s="33">
        <v>0</v>
      </c>
      <c r="AG29" s="33">
        <v>0</v>
      </c>
      <c r="AH29" s="34">
        <v>42486</v>
      </c>
      <c r="AI29" s="3">
        <f t="shared" si="8"/>
        <v>449</v>
      </c>
      <c r="AJ29" s="4">
        <v>42486</v>
      </c>
      <c r="AK29" s="26">
        <f t="shared" si="9"/>
        <v>449</v>
      </c>
      <c r="AL29" s="37"/>
      <c r="AM29" s="37"/>
      <c r="AN29" s="42"/>
      <c r="AO29" s="41"/>
      <c r="AP29" s="40"/>
    </row>
    <row r="30" spans="1:42">
      <c r="A30" s="56">
        <v>28</v>
      </c>
      <c r="B30" s="2">
        <v>65</v>
      </c>
      <c r="C30" s="3">
        <v>2</v>
      </c>
      <c r="D30" s="3">
        <v>1</v>
      </c>
      <c r="E30" s="3">
        <v>3</v>
      </c>
      <c r="F30" s="30">
        <v>2</v>
      </c>
      <c r="G30" s="30">
        <v>2</v>
      </c>
      <c r="H30" s="11">
        <v>41964</v>
      </c>
      <c r="I30" s="3">
        <v>2</v>
      </c>
      <c r="J30" s="3">
        <v>1</v>
      </c>
      <c r="K30" s="3">
        <v>2</v>
      </c>
      <c r="L30" s="3">
        <v>1</v>
      </c>
      <c r="M30" s="30">
        <v>2</v>
      </c>
      <c r="N30" s="3">
        <v>2</v>
      </c>
      <c r="O30" s="3">
        <v>0</v>
      </c>
      <c r="P30" s="12">
        <v>42024</v>
      </c>
      <c r="Q30" s="30">
        <f t="shared" si="7"/>
        <v>15</v>
      </c>
      <c r="R30" s="30">
        <v>0</v>
      </c>
      <c r="S30" s="30">
        <v>0</v>
      </c>
      <c r="T30" s="3">
        <v>90.4</v>
      </c>
      <c r="U30" s="3" t="s">
        <v>13</v>
      </c>
      <c r="V30" s="13">
        <v>42031</v>
      </c>
      <c r="W30" s="31">
        <f t="shared" si="2"/>
        <v>60</v>
      </c>
      <c r="X30" s="3">
        <v>1</v>
      </c>
      <c r="Y30" s="13">
        <v>42039</v>
      </c>
      <c r="Z30" s="3">
        <v>500</v>
      </c>
      <c r="AA30" s="3">
        <v>260</v>
      </c>
      <c r="AB30" s="3">
        <f t="shared" si="3"/>
        <v>75</v>
      </c>
      <c r="AC30" s="30">
        <v>7</v>
      </c>
      <c r="AD30" s="30">
        <v>0</v>
      </c>
      <c r="AE30" s="30">
        <v>0</v>
      </c>
      <c r="AF30" s="33">
        <v>0</v>
      </c>
      <c r="AG30" s="33">
        <v>0</v>
      </c>
      <c r="AH30" s="34">
        <v>42348</v>
      </c>
      <c r="AI30" s="3">
        <f t="shared" si="8"/>
        <v>309</v>
      </c>
      <c r="AJ30" s="4">
        <v>42348</v>
      </c>
      <c r="AK30" s="26">
        <f t="shared" si="9"/>
        <v>309</v>
      </c>
      <c r="AL30" s="37"/>
      <c r="AM30" s="37"/>
      <c r="AN30" s="42"/>
      <c r="AO30" s="41"/>
      <c r="AP30" s="40"/>
    </row>
    <row r="31" spans="1:42">
      <c r="A31" s="56">
        <v>29</v>
      </c>
      <c r="B31" s="2">
        <v>37</v>
      </c>
      <c r="C31" s="3">
        <v>2</v>
      </c>
      <c r="D31" s="3">
        <v>2</v>
      </c>
      <c r="E31" s="3">
        <v>1</v>
      </c>
      <c r="F31" s="30">
        <v>1</v>
      </c>
      <c r="G31" s="30">
        <v>1</v>
      </c>
      <c r="H31" s="11">
        <v>41796</v>
      </c>
      <c r="I31" s="3">
        <v>2</v>
      </c>
      <c r="J31" s="3">
        <v>2</v>
      </c>
      <c r="K31" s="3">
        <v>1</v>
      </c>
      <c r="L31" s="3">
        <v>1</v>
      </c>
      <c r="M31" s="30">
        <v>2</v>
      </c>
      <c r="N31" s="3">
        <v>1</v>
      </c>
      <c r="O31" s="3">
        <v>0</v>
      </c>
      <c r="P31" s="12">
        <v>42061</v>
      </c>
      <c r="Q31" s="30">
        <f t="shared" si="7"/>
        <v>1</v>
      </c>
      <c r="R31" s="30">
        <v>0</v>
      </c>
      <c r="S31" s="30">
        <v>0</v>
      </c>
      <c r="T31" s="3">
        <v>100</v>
      </c>
      <c r="U31" s="3" t="s">
        <v>13</v>
      </c>
      <c r="V31" s="13">
        <v>42040</v>
      </c>
      <c r="W31" s="31">
        <f t="shared" si="2"/>
        <v>265</v>
      </c>
      <c r="X31" s="3">
        <v>1</v>
      </c>
      <c r="Y31" s="13">
        <v>42062</v>
      </c>
      <c r="Z31" s="3">
        <v>1010</v>
      </c>
      <c r="AA31" s="3">
        <v>470</v>
      </c>
      <c r="AB31" s="3">
        <f t="shared" si="3"/>
        <v>266</v>
      </c>
      <c r="AC31" s="30">
        <v>18</v>
      </c>
      <c r="AD31" s="30">
        <v>0</v>
      </c>
      <c r="AE31" s="30">
        <v>0</v>
      </c>
      <c r="AF31" s="33">
        <v>0</v>
      </c>
      <c r="AG31" s="33">
        <v>0</v>
      </c>
      <c r="AH31" s="34">
        <v>42377</v>
      </c>
      <c r="AI31" s="3">
        <f t="shared" si="8"/>
        <v>315</v>
      </c>
      <c r="AJ31" s="4">
        <v>42377</v>
      </c>
      <c r="AK31" s="26">
        <f t="shared" si="9"/>
        <v>315</v>
      </c>
      <c r="AL31" s="37"/>
      <c r="AM31" s="37"/>
      <c r="AN31" s="42"/>
      <c r="AO31" s="41"/>
      <c r="AP31" s="40"/>
    </row>
    <row r="32" spans="1:42">
      <c r="A32" s="56">
        <v>30</v>
      </c>
      <c r="B32" s="2">
        <v>58</v>
      </c>
      <c r="C32" s="3">
        <v>2</v>
      </c>
      <c r="D32" s="3">
        <v>2</v>
      </c>
      <c r="E32" s="3">
        <v>1</v>
      </c>
      <c r="F32" s="30">
        <v>2</v>
      </c>
      <c r="G32" s="30">
        <v>2</v>
      </c>
      <c r="H32" s="11">
        <v>41928</v>
      </c>
      <c r="I32" s="3">
        <v>2</v>
      </c>
      <c r="J32" s="3">
        <v>2</v>
      </c>
      <c r="K32" s="3">
        <v>1</v>
      </c>
      <c r="L32" s="3">
        <v>2</v>
      </c>
      <c r="M32" s="30">
        <v>2</v>
      </c>
      <c r="N32" s="3">
        <v>2</v>
      </c>
      <c r="O32" s="3">
        <v>0</v>
      </c>
      <c r="P32" s="12">
        <v>42067</v>
      </c>
      <c r="Q32" s="30">
        <f t="shared" si="7"/>
        <v>7</v>
      </c>
      <c r="R32" s="30">
        <v>0</v>
      </c>
      <c r="S32" s="30">
        <v>0</v>
      </c>
      <c r="T32" s="3">
        <v>100</v>
      </c>
      <c r="U32" s="24" t="s">
        <v>22</v>
      </c>
      <c r="V32" s="13">
        <v>42067</v>
      </c>
      <c r="W32" s="31">
        <f t="shared" si="2"/>
        <v>139</v>
      </c>
      <c r="X32" s="3">
        <v>1</v>
      </c>
      <c r="Y32" s="13">
        <v>42074</v>
      </c>
      <c r="Z32" s="3">
        <v>1730</v>
      </c>
      <c r="AA32" s="3">
        <v>860</v>
      </c>
      <c r="AB32" s="3">
        <f t="shared" si="3"/>
        <v>146</v>
      </c>
      <c r="AC32" s="30">
        <v>6</v>
      </c>
      <c r="AD32" s="30">
        <v>0</v>
      </c>
      <c r="AE32" s="30">
        <v>1</v>
      </c>
      <c r="AF32" s="33">
        <v>0</v>
      </c>
      <c r="AG32" s="33">
        <v>0</v>
      </c>
      <c r="AH32" s="34">
        <v>42443</v>
      </c>
      <c r="AI32" s="3">
        <f t="shared" si="8"/>
        <v>369</v>
      </c>
      <c r="AJ32" s="4">
        <v>42443</v>
      </c>
      <c r="AK32" s="26">
        <f t="shared" si="9"/>
        <v>369</v>
      </c>
      <c r="AL32" s="37"/>
      <c r="AM32" s="37"/>
      <c r="AN32" s="42"/>
      <c r="AO32" s="41"/>
      <c r="AP32" s="40"/>
    </row>
    <row r="33" spans="1:42">
      <c r="A33" s="56">
        <v>31</v>
      </c>
      <c r="B33" s="2">
        <v>63</v>
      </c>
      <c r="C33" s="3">
        <v>2</v>
      </c>
      <c r="D33" s="3">
        <v>2</v>
      </c>
      <c r="E33" s="3">
        <v>1</v>
      </c>
      <c r="F33" s="30">
        <v>2</v>
      </c>
      <c r="G33" s="30">
        <v>2</v>
      </c>
      <c r="H33" s="11">
        <v>41936</v>
      </c>
      <c r="I33" s="3">
        <v>2</v>
      </c>
      <c r="J33" s="3">
        <v>2</v>
      </c>
      <c r="K33" s="3">
        <v>1</v>
      </c>
      <c r="L33" s="3">
        <v>2</v>
      </c>
      <c r="M33" s="30">
        <v>2</v>
      </c>
      <c r="N33" s="3">
        <v>2</v>
      </c>
      <c r="O33" s="3">
        <v>0</v>
      </c>
      <c r="P33" s="12">
        <v>42047</v>
      </c>
      <c r="Q33" s="30">
        <f t="shared" si="7"/>
        <v>27</v>
      </c>
      <c r="R33" s="30">
        <v>0</v>
      </c>
      <c r="S33" s="30">
        <v>0</v>
      </c>
      <c r="T33" s="3" t="s">
        <v>13</v>
      </c>
      <c r="U33" s="3" t="s">
        <v>13</v>
      </c>
      <c r="V33" s="13">
        <v>42026</v>
      </c>
      <c r="W33" s="31">
        <f t="shared" si="2"/>
        <v>111</v>
      </c>
      <c r="X33" s="3">
        <v>1</v>
      </c>
      <c r="Y33" s="13">
        <v>42074</v>
      </c>
      <c r="Z33" s="3">
        <v>2390</v>
      </c>
      <c r="AA33" s="3">
        <v>1250</v>
      </c>
      <c r="AB33" s="3">
        <f t="shared" si="3"/>
        <v>138</v>
      </c>
      <c r="AC33" s="30">
        <v>22</v>
      </c>
      <c r="AD33" s="30">
        <v>0</v>
      </c>
      <c r="AE33" s="30">
        <v>0</v>
      </c>
      <c r="AF33" s="33">
        <v>0</v>
      </c>
      <c r="AG33" s="33">
        <v>0</v>
      </c>
      <c r="AH33" s="34">
        <v>42087</v>
      </c>
      <c r="AI33" s="3">
        <f t="shared" si="8"/>
        <v>13</v>
      </c>
      <c r="AJ33" s="4">
        <v>42087</v>
      </c>
      <c r="AK33" s="26">
        <f t="shared" si="9"/>
        <v>13</v>
      </c>
      <c r="AL33" s="37"/>
      <c r="AM33" s="37"/>
      <c r="AN33" s="42"/>
      <c r="AO33" s="41"/>
      <c r="AP33" s="40"/>
    </row>
    <row r="34" spans="1:42">
      <c r="A34" s="56">
        <v>32</v>
      </c>
      <c r="B34" s="2">
        <v>65</v>
      </c>
      <c r="C34" s="3">
        <v>1</v>
      </c>
      <c r="D34" s="3">
        <v>1</v>
      </c>
      <c r="E34" s="3">
        <v>1</v>
      </c>
      <c r="F34" s="30">
        <v>1</v>
      </c>
      <c r="G34" s="30">
        <v>2</v>
      </c>
      <c r="H34" s="11">
        <v>40871</v>
      </c>
      <c r="I34" s="3">
        <v>2</v>
      </c>
      <c r="J34" s="3">
        <v>2</v>
      </c>
      <c r="K34" s="3">
        <v>1</v>
      </c>
      <c r="L34" s="3">
        <v>1</v>
      </c>
      <c r="M34" s="30">
        <v>2</v>
      </c>
      <c r="N34" s="3">
        <v>2</v>
      </c>
      <c r="O34" s="3">
        <v>0</v>
      </c>
      <c r="P34" s="12">
        <v>42066</v>
      </c>
      <c r="Q34" s="30">
        <f t="shared" si="7"/>
        <v>9</v>
      </c>
      <c r="R34" s="30">
        <v>0</v>
      </c>
      <c r="S34" s="30">
        <v>0</v>
      </c>
      <c r="T34" s="3">
        <v>100</v>
      </c>
      <c r="U34" s="3">
        <v>100</v>
      </c>
      <c r="V34" s="13">
        <v>42066</v>
      </c>
      <c r="W34" s="31">
        <f t="shared" si="2"/>
        <v>1195</v>
      </c>
      <c r="X34" s="3">
        <v>2</v>
      </c>
      <c r="Y34" s="13">
        <v>42075</v>
      </c>
      <c r="Z34" s="3">
        <v>3150</v>
      </c>
      <c r="AA34" s="3">
        <v>1890</v>
      </c>
      <c r="AB34" s="3">
        <f t="shared" si="3"/>
        <v>1204</v>
      </c>
      <c r="AC34" s="30">
        <v>28.8</v>
      </c>
      <c r="AD34" s="30">
        <v>0</v>
      </c>
      <c r="AE34" s="30">
        <v>0</v>
      </c>
      <c r="AF34" s="33">
        <v>0</v>
      </c>
      <c r="AG34" s="33">
        <v>0</v>
      </c>
      <c r="AH34" s="34">
        <v>42378</v>
      </c>
      <c r="AI34" s="3">
        <f t="shared" si="8"/>
        <v>303</v>
      </c>
      <c r="AJ34" s="4">
        <v>42378</v>
      </c>
      <c r="AK34" s="26">
        <f t="shared" si="9"/>
        <v>303</v>
      </c>
      <c r="AL34" s="37"/>
      <c r="AM34" s="37"/>
      <c r="AN34" s="42"/>
      <c r="AO34" s="41"/>
      <c r="AP34" s="40"/>
    </row>
    <row r="35" spans="1:42">
      <c r="A35" s="56">
        <v>33</v>
      </c>
      <c r="B35" s="2">
        <v>69</v>
      </c>
      <c r="C35" s="3">
        <v>2</v>
      </c>
      <c r="D35" s="3">
        <v>2</v>
      </c>
      <c r="E35" s="3">
        <v>1</v>
      </c>
      <c r="F35" s="30">
        <v>2</v>
      </c>
      <c r="G35" s="30">
        <v>2</v>
      </c>
      <c r="H35" s="11">
        <v>41992</v>
      </c>
      <c r="I35" s="3">
        <v>2</v>
      </c>
      <c r="J35" s="3">
        <v>2</v>
      </c>
      <c r="K35" s="3">
        <v>2</v>
      </c>
      <c r="L35" s="3">
        <v>1</v>
      </c>
      <c r="M35" s="30">
        <v>2</v>
      </c>
      <c r="N35" s="3">
        <v>2</v>
      </c>
      <c r="O35" s="3">
        <v>0</v>
      </c>
      <c r="P35" s="12">
        <v>42114</v>
      </c>
      <c r="Q35" s="30">
        <f t="shared" si="7"/>
        <v>10</v>
      </c>
      <c r="R35" s="30">
        <v>0</v>
      </c>
      <c r="S35" s="30">
        <v>0</v>
      </c>
      <c r="T35" s="3">
        <v>95.1</v>
      </c>
      <c r="U35" s="3">
        <v>73.2</v>
      </c>
      <c r="V35" s="13">
        <v>42122</v>
      </c>
      <c r="W35" s="31">
        <f t="shared" si="2"/>
        <v>122</v>
      </c>
      <c r="X35" s="3">
        <v>1</v>
      </c>
      <c r="Y35" s="13">
        <v>42124</v>
      </c>
      <c r="Z35" s="3">
        <v>1510</v>
      </c>
      <c r="AA35" s="3">
        <v>610</v>
      </c>
      <c r="AB35" s="3">
        <f t="shared" si="3"/>
        <v>132</v>
      </c>
      <c r="AC35" s="30">
        <v>8.3000000000000007</v>
      </c>
      <c r="AD35" s="30">
        <v>0</v>
      </c>
      <c r="AE35" s="30">
        <v>0</v>
      </c>
      <c r="AF35" s="33">
        <v>0</v>
      </c>
      <c r="AG35" s="33">
        <v>0</v>
      </c>
      <c r="AH35" s="34">
        <v>42213</v>
      </c>
      <c r="AI35" s="3">
        <f t="shared" si="8"/>
        <v>89</v>
      </c>
      <c r="AJ35" s="4">
        <v>42213</v>
      </c>
      <c r="AK35" s="26">
        <f t="shared" si="9"/>
        <v>89</v>
      </c>
      <c r="AL35" s="37"/>
      <c r="AM35" s="37"/>
      <c r="AN35" s="42"/>
      <c r="AO35" s="41"/>
      <c r="AP35" s="40"/>
    </row>
    <row r="36" spans="1:42">
      <c r="A36" s="56">
        <v>34</v>
      </c>
      <c r="B36" s="2">
        <v>65</v>
      </c>
      <c r="C36" s="3">
        <v>2</v>
      </c>
      <c r="D36" s="3">
        <v>2</v>
      </c>
      <c r="E36" s="3">
        <v>1</v>
      </c>
      <c r="F36" s="30">
        <v>1</v>
      </c>
      <c r="G36" s="30">
        <v>2</v>
      </c>
      <c r="H36" s="11">
        <v>41992</v>
      </c>
      <c r="I36" s="3">
        <v>2</v>
      </c>
      <c r="J36" s="3">
        <v>2</v>
      </c>
      <c r="K36" s="3">
        <v>2</v>
      </c>
      <c r="L36" s="3">
        <v>1</v>
      </c>
      <c r="M36" s="30">
        <v>2</v>
      </c>
      <c r="N36" s="3">
        <v>2</v>
      </c>
      <c r="O36" s="3">
        <v>1</v>
      </c>
      <c r="P36" s="12">
        <v>42159</v>
      </c>
      <c r="Q36" s="30">
        <f t="shared" si="7"/>
        <v>1</v>
      </c>
      <c r="R36" s="30">
        <v>0</v>
      </c>
      <c r="S36" s="30">
        <v>0</v>
      </c>
      <c r="T36" s="3">
        <v>27</v>
      </c>
      <c r="U36" s="3">
        <v>8</v>
      </c>
      <c r="V36" s="13">
        <v>42150</v>
      </c>
      <c r="W36" s="31">
        <f t="shared" si="2"/>
        <v>167</v>
      </c>
      <c r="X36" s="3">
        <v>1</v>
      </c>
      <c r="Y36" s="13">
        <v>42160</v>
      </c>
      <c r="Z36" s="3">
        <v>6840</v>
      </c>
      <c r="AA36" s="3">
        <v>270</v>
      </c>
      <c r="AB36" s="3">
        <f t="shared" si="3"/>
        <v>168</v>
      </c>
      <c r="AC36" s="30">
        <v>1.7</v>
      </c>
      <c r="AD36" s="30">
        <v>0</v>
      </c>
      <c r="AE36" s="30">
        <v>0</v>
      </c>
      <c r="AF36" s="33">
        <v>0</v>
      </c>
      <c r="AG36" s="33">
        <v>0</v>
      </c>
      <c r="AH36" s="34">
        <v>42480</v>
      </c>
      <c r="AI36" s="3">
        <f t="shared" si="8"/>
        <v>320</v>
      </c>
      <c r="AJ36" s="4">
        <v>42480</v>
      </c>
      <c r="AK36" s="26">
        <f t="shared" si="9"/>
        <v>320</v>
      </c>
      <c r="AL36" s="37"/>
      <c r="AM36" s="37"/>
      <c r="AN36" s="42"/>
      <c r="AO36" s="41"/>
      <c r="AP36" s="40"/>
    </row>
    <row r="37" spans="1:42">
      <c r="A37" s="56">
        <v>35</v>
      </c>
      <c r="B37" s="2">
        <v>57</v>
      </c>
      <c r="C37" s="3">
        <v>1</v>
      </c>
      <c r="D37" s="3">
        <v>2</v>
      </c>
      <c r="E37" s="3">
        <v>1</v>
      </c>
      <c r="F37" s="30">
        <v>1</v>
      </c>
      <c r="G37" s="30">
        <v>2</v>
      </c>
      <c r="H37" s="11">
        <v>42068</v>
      </c>
      <c r="I37" s="3">
        <v>2</v>
      </c>
      <c r="J37" s="3">
        <v>2</v>
      </c>
      <c r="K37" s="3">
        <v>2</v>
      </c>
      <c r="L37" s="3">
        <v>1</v>
      </c>
      <c r="M37" s="30">
        <v>1</v>
      </c>
      <c r="N37" s="3">
        <v>2</v>
      </c>
      <c r="O37" s="3">
        <v>0</v>
      </c>
      <c r="P37" s="12">
        <v>42172</v>
      </c>
      <c r="Q37" s="30">
        <f t="shared" si="7"/>
        <v>9</v>
      </c>
      <c r="R37" s="30">
        <v>0</v>
      </c>
      <c r="S37" s="30">
        <v>0</v>
      </c>
      <c r="T37" s="3">
        <v>80</v>
      </c>
      <c r="U37" s="3">
        <v>91</v>
      </c>
      <c r="V37" s="13">
        <v>42158</v>
      </c>
      <c r="W37" s="31">
        <f t="shared" si="2"/>
        <v>104</v>
      </c>
      <c r="X37" s="3">
        <v>1</v>
      </c>
      <c r="Y37" s="13">
        <v>42181</v>
      </c>
      <c r="Z37" s="3">
        <v>9480</v>
      </c>
      <c r="AA37" s="3">
        <v>3790</v>
      </c>
      <c r="AB37" s="3">
        <f t="shared" si="3"/>
        <v>113</v>
      </c>
      <c r="AC37" s="30">
        <v>10</v>
      </c>
      <c r="AD37" s="30">
        <v>0</v>
      </c>
      <c r="AE37" s="30">
        <v>0</v>
      </c>
      <c r="AF37" s="33">
        <v>0</v>
      </c>
      <c r="AG37" s="33">
        <v>0</v>
      </c>
      <c r="AH37" s="34">
        <v>42287</v>
      </c>
      <c r="AI37" s="3">
        <f t="shared" si="8"/>
        <v>106</v>
      </c>
      <c r="AJ37" s="4">
        <v>42287</v>
      </c>
      <c r="AK37" s="26">
        <f t="shared" si="9"/>
        <v>106</v>
      </c>
      <c r="AL37" s="37"/>
      <c r="AM37" s="37"/>
      <c r="AN37" s="42"/>
      <c r="AO37" s="41"/>
      <c r="AP37" s="40"/>
    </row>
    <row r="38" spans="1:42">
      <c r="A38" s="57"/>
      <c r="B38" s="9"/>
      <c r="C38" s="9"/>
      <c r="D38" s="7"/>
      <c r="E38" s="7"/>
      <c r="F38" s="7"/>
      <c r="G38" s="58"/>
      <c r="H38" s="18"/>
      <c r="I38" s="18"/>
      <c r="J38" s="58"/>
      <c r="K38" s="58"/>
      <c r="L38" s="58"/>
      <c r="M38" s="58"/>
      <c r="N38" s="7"/>
      <c r="O38" s="7"/>
      <c r="P38" s="14"/>
      <c r="Q38" s="14"/>
      <c r="R38" s="58"/>
      <c r="S38" s="58"/>
      <c r="T38" s="7"/>
      <c r="U38" s="7"/>
      <c r="V38" s="7"/>
      <c r="W38" s="7"/>
      <c r="X38" s="7"/>
      <c r="Y38" s="15"/>
      <c r="Z38" s="7"/>
      <c r="AA38" s="7"/>
      <c r="AB38" s="7"/>
      <c r="AC38" s="7"/>
      <c r="AD38" s="7"/>
      <c r="AE38" s="7"/>
      <c r="AF38" s="7"/>
      <c r="AG38" s="7"/>
      <c r="AH38" s="7"/>
      <c r="AI38" s="15"/>
      <c r="AJ38" s="16"/>
      <c r="AK38" s="16"/>
      <c r="AL38" s="37"/>
      <c r="AM38" s="37"/>
      <c r="AN38" s="42"/>
      <c r="AO38" s="44"/>
      <c r="AP38" s="40"/>
    </row>
    <row r="39" spans="1:42">
      <c r="A39" s="56">
        <v>37</v>
      </c>
      <c r="B39" s="2">
        <v>62</v>
      </c>
      <c r="C39" s="3">
        <v>1</v>
      </c>
      <c r="D39" s="3">
        <v>1</v>
      </c>
      <c r="E39" s="3">
        <v>3</v>
      </c>
      <c r="F39" s="30">
        <v>2</v>
      </c>
      <c r="G39" s="30">
        <v>2</v>
      </c>
      <c r="H39" s="11">
        <v>41943</v>
      </c>
      <c r="I39" s="3">
        <v>2</v>
      </c>
      <c r="J39" s="3">
        <v>1</v>
      </c>
      <c r="K39" s="3">
        <v>2</v>
      </c>
      <c r="L39" s="3">
        <v>1</v>
      </c>
      <c r="M39" s="30">
        <v>1</v>
      </c>
      <c r="N39" s="3">
        <v>1</v>
      </c>
      <c r="O39" s="3">
        <v>1</v>
      </c>
      <c r="P39" s="12">
        <v>42164</v>
      </c>
      <c r="Q39" s="30">
        <f t="shared" ref="Q39:Q53" si="10">DATEDIF(P39,Y39,"d")</f>
        <v>41</v>
      </c>
      <c r="R39" s="30">
        <v>0</v>
      </c>
      <c r="S39" s="30">
        <v>0</v>
      </c>
      <c r="T39" s="3" t="s">
        <v>13</v>
      </c>
      <c r="U39" s="3">
        <v>47.4</v>
      </c>
      <c r="V39" s="13">
        <v>42192</v>
      </c>
      <c r="W39" s="31">
        <f t="shared" si="2"/>
        <v>221</v>
      </c>
      <c r="X39" s="3">
        <v>1</v>
      </c>
      <c r="Y39" s="13">
        <v>42205</v>
      </c>
      <c r="Z39" s="3">
        <v>4250</v>
      </c>
      <c r="AA39" s="3">
        <v>1799</v>
      </c>
      <c r="AB39" s="3">
        <f t="shared" si="3"/>
        <v>262</v>
      </c>
      <c r="AC39" s="30">
        <v>10</v>
      </c>
      <c r="AD39" s="30">
        <v>0</v>
      </c>
      <c r="AE39" s="30">
        <v>0</v>
      </c>
      <c r="AF39" s="33">
        <v>0</v>
      </c>
      <c r="AG39" s="33">
        <v>0</v>
      </c>
      <c r="AH39" s="34">
        <v>42456</v>
      </c>
      <c r="AI39" s="3">
        <f>DATEDIF(Y39,AH39,"d")</f>
        <v>251</v>
      </c>
      <c r="AJ39" s="4">
        <v>42456</v>
      </c>
      <c r="AK39" s="26">
        <f t="shared" ref="AK39:AK54" si="11">DATEDIF(Y39,AJ39,"d")</f>
        <v>251</v>
      </c>
      <c r="AL39" s="37"/>
      <c r="AM39" s="37"/>
      <c r="AN39" s="42"/>
      <c r="AO39" s="41"/>
      <c r="AP39" s="40"/>
    </row>
    <row r="40" spans="1:42">
      <c r="A40" s="56">
        <v>38</v>
      </c>
      <c r="B40" s="2">
        <v>70</v>
      </c>
      <c r="C40" s="3">
        <v>1</v>
      </c>
      <c r="D40" s="3">
        <v>1</v>
      </c>
      <c r="E40" s="3">
        <v>1</v>
      </c>
      <c r="F40" s="30">
        <v>1</v>
      </c>
      <c r="G40" s="30">
        <v>2</v>
      </c>
      <c r="H40" s="11">
        <v>42031</v>
      </c>
      <c r="I40" s="3">
        <v>2</v>
      </c>
      <c r="J40" s="3">
        <v>2</v>
      </c>
      <c r="K40" s="3">
        <v>1</v>
      </c>
      <c r="L40" s="3">
        <v>1</v>
      </c>
      <c r="M40" s="30">
        <v>2</v>
      </c>
      <c r="N40" s="3">
        <v>2</v>
      </c>
      <c r="O40" s="3">
        <v>1</v>
      </c>
      <c r="P40" s="12">
        <v>42212</v>
      </c>
      <c r="Q40" s="30">
        <f t="shared" si="10"/>
        <v>7</v>
      </c>
      <c r="R40" s="30">
        <v>0</v>
      </c>
      <c r="S40" s="30">
        <v>0</v>
      </c>
      <c r="T40" s="3" t="s">
        <v>13</v>
      </c>
      <c r="U40" s="3">
        <v>85.5</v>
      </c>
      <c r="V40" s="13">
        <v>42209</v>
      </c>
      <c r="W40" s="31">
        <f t="shared" si="2"/>
        <v>181</v>
      </c>
      <c r="X40" s="3">
        <v>1</v>
      </c>
      <c r="Y40" s="13">
        <v>42219</v>
      </c>
      <c r="Z40" s="3">
        <v>2199</v>
      </c>
      <c r="AA40" s="3">
        <v>780</v>
      </c>
      <c r="AB40" s="3">
        <f t="shared" si="3"/>
        <v>188</v>
      </c>
      <c r="AC40" s="30">
        <v>13</v>
      </c>
      <c r="AD40" s="30">
        <v>0</v>
      </c>
      <c r="AE40" s="30">
        <v>0</v>
      </c>
      <c r="AF40" s="33">
        <v>0</v>
      </c>
      <c r="AG40" s="33">
        <v>0</v>
      </c>
      <c r="AH40" s="34">
        <v>42543</v>
      </c>
      <c r="AI40" s="3">
        <f>DATEDIF(Y40,AH40,"d")</f>
        <v>324</v>
      </c>
      <c r="AJ40" s="4">
        <v>42543</v>
      </c>
      <c r="AK40" s="26">
        <f t="shared" si="11"/>
        <v>324</v>
      </c>
      <c r="AL40" s="37"/>
      <c r="AM40" s="37"/>
      <c r="AN40" s="42"/>
      <c r="AO40" s="41"/>
      <c r="AP40" s="40"/>
    </row>
    <row r="41" spans="1:42">
      <c r="A41" s="56">
        <v>39</v>
      </c>
      <c r="B41" s="2">
        <v>21</v>
      </c>
      <c r="C41" s="3">
        <v>1</v>
      </c>
      <c r="D41" s="3">
        <v>1</v>
      </c>
      <c r="E41" s="3">
        <v>3</v>
      </c>
      <c r="F41" s="30">
        <v>2</v>
      </c>
      <c r="G41" s="30">
        <v>2</v>
      </c>
      <c r="H41" s="11">
        <v>37687</v>
      </c>
      <c r="I41" s="3">
        <v>2</v>
      </c>
      <c r="J41" s="3">
        <v>2</v>
      </c>
      <c r="K41" s="3">
        <v>1</v>
      </c>
      <c r="L41" s="3">
        <v>2</v>
      </c>
      <c r="M41" s="30">
        <v>2</v>
      </c>
      <c r="N41" s="3">
        <v>1</v>
      </c>
      <c r="O41" s="3">
        <v>0</v>
      </c>
      <c r="P41" s="17">
        <v>38504</v>
      </c>
      <c r="Q41" s="30">
        <f t="shared" si="10"/>
        <v>3715</v>
      </c>
      <c r="R41" s="30">
        <v>0</v>
      </c>
      <c r="S41" s="30">
        <v>0</v>
      </c>
      <c r="T41" s="3" t="s">
        <v>13</v>
      </c>
      <c r="U41" s="3">
        <v>100</v>
      </c>
      <c r="V41" s="13">
        <v>42207</v>
      </c>
      <c r="W41" s="31">
        <f t="shared" si="2"/>
        <v>817</v>
      </c>
      <c r="X41" s="3">
        <v>2</v>
      </c>
      <c r="Y41" s="13">
        <v>42219</v>
      </c>
      <c r="Z41" s="3">
        <v>1540</v>
      </c>
      <c r="AA41" s="3">
        <v>1320</v>
      </c>
      <c r="AB41" s="3">
        <f t="shared" si="3"/>
        <v>4532</v>
      </c>
      <c r="AC41" s="30">
        <v>12</v>
      </c>
      <c r="AD41" s="30">
        <v>0</v>
      </c>
      <c r="AE41" s="30">
        <v>0</v>
      </c>
      <c r="AF41" s="33">
        <v>1</v>
      </c>
      <c r="AG41" s="33">
        <v>0</v>
      </c>
      <c r="AH41" s="33" t="s">
        <v>13</v>
      </c>
      <c r="AI41" s="3" t="s">
        <v>13</v>
      </c>
      <c r="AJ41" s="4">
        <v>42353</v>
      </c>
      <c r="AK41" s="26">
        <f t="shared" si="11"/>
        <v>134</v>
      </c>
      <c r="AL41" s="37"/>
      <c r="AM41" s="37"/>
      <c r="AN41" s="42"/>
      <c r="AO41" s="41"/>
      <c r="AP41" s="40"/>
    </row>
    <row r="42" spans="1:42">
      <c r="A42" s="56">
        <v>40</v>
      </c>
      <c r="B42" s="2">
        <v>68</v>
      </c>
      <c r="C42" s="3">
        <v>1</v>
      </c>
      <c r="D42" s="3">
        <v>2</v>
      </c>
      <c r="E42" s="3">
        <v>1</v>
      </c>
      <c r="F42" s="30">
        <v>1</v>
      </c>
      <c r="G42" s="30">
        <v>2</v>
      </c>
      <c r="H42" s="11">
        <v>42060</v>
      </c>
      <c r="I42" s="3">
        <v>2</v>
      </c>
      <c r="J42" s="3">
        <v>2</v>
      </c>
      <c r="K42" s="3">
        <v>1</v>
      </c>
      <c r="L42" s="3">
        <v>1</v>
      </c>
      <c r="M42" s="30">
        <v>2</v>
      </c>
      <c r="N42" s="3">
        <v>2</v>
      </c>
      <c r="O42" s="3">
        <v>0</v>
      </c>
      <c r="P42" s="12">
        <v>42219</v>
      </c>
      <c r="Q42" s="30">
        <f t="shared" si="10"/>
        <v>21</v>
      </c>
      <c r="R42" s="30">
        <v>0</v>
      </c>
      <c r="S42" s="30">
        <v>0</v>
      </c>
      <c r="T42" s="3">
        <v>83</v>
      </c>
      <c r="U42" s="3" t="s">
        <v>13</v>
      </c>
      <c r="V42" s="13">
        <v>42205</v>
      </c>
      <c r="W42" s="31">
        <f t="shared" si="2"/>
        <v>159</v>
      </c>
      <c r="X42" s="3">
        <v>1</v>
      </c>
      <c r="Y42" s="13">
        <v>42240</v>
      </c>
      <c r="Z42" s="3">
        <v>570</v>
      </c>
      <c r="AA42" s="3" t="s">
        <v>13</v>
      </c>
      <c r="AB42" s="3">
        <f t="shared" si="3"/>
        <v>180</v>
      </c>
      <c r="AC42" s="30">
        <v>15</v>
      </c>
      <c r="AD42" s="30">
        <v>0</v>
      </c>
      <c r="AE42" s="30">
        <v>0</v>
      </c>
      <c r="AF42" s="33">
        <v>0</v>
      </c>
      <c r="AG42" s="33">
        <v>0</v>
      </c>
      <c r="AH42" s="34">
        <v>42403</v>
      </c>
      <c r="AI42" s="3">
        <f>DATEDIF(Y42,AH42,"d")</f>
        <v>163</v>
      </c>
      <c r="AJ42" s="4">
        <v>42403</v>
      </c>
      <c r="AK42" s="26">
        <f t="shared" si="11"/>
        <v>163</v>
      </c>
      <c r="AL42" s="37"/>
      <c r="AM42" s="37"/>
      <c r="AN42" s="42"/>
      <c r="AO42" s="41"/>
      <c r="AP42" s="40"/>
    </row>
    <row r="43" spans="1:42">
      <c r="A43" s="56">
        <v>41</v>
      </c>
      <c r="B43" s="2">
        <v>58</v>
      </c>
      <c r="C43" s="3">
        <v>2</v>
      </c>
      <c r="D43" s="3">
        <v>2</v>
      </c>
      <c r="E43" s="3">
        <v>1</v>
      </c>
      <c r="F43" s="30">
        <v>2</v>
      </c>
      <c r="G43" s="30">
        <v>2</v>
      </c>
      <c r="H43" s="11">
        <v>42145</v>
      </c>
      <c r="I43" s="3">
        <v>2</v>
      </c>
      <c r="J43" s="3">
        <v>1</v>
      </c>
      <c r="K43" s="3">
        <v>2</v>
      </c>
      <c r="L43" s="3">
        <v>1</v>
      </c>
      <c r="M43" s="30">
        <v>2</v>
      </c>
      <c r="N43" s="3">
        <v>2</v>
      </c>
      <c r="O43" s="3">
        <v>1</v>
      </c>
      <c r="P43" s="12">
        <v>42233</v>
      </c>
      <c r="Q43" s="30">
        <f t="shared" si="10"/>
        <v>31</v>
      </c>
      <c r="R43" s="30">
        <v>0</v>
      </c>
      <c r="S43" s="30">
        <v>0</v>
      </c>
      <c r="T43" s="3">
        <v>100</v>
      </c>
      <c r="U43" s="3">
        <v>100</v>
      </c>
      <c r="V43" s="13">
        <v>42222</v>
      </c>
      <c r="W43" s="31">
        <f t="shared" si="2"/>
        <v>88</v>
      </c>
      <c r="X43" s="3">
        <v>1</v>
      </c>
      <c r="Y43" s="13">
        <v>42264</v>
      </c>
      <c r="Z43" s="3">
        <v>3760</v>
      </c>
      <c r="AA43" s="3">
        <v>1300</v>
      </c>
      <c r="AB43" s="3">
        <f t="shared" si="3"/>
        <v>119</v>
      </c>
      <c r="AC43" s="30">
        <v>1.5</v>
      </c>
      <c r="AD43" s="30">
        <v>1</v>
      </c>
      <c r="AE43" s="30">
        <v>1</v>
      </c>
      <c r="AF43" s="33">
        <v>1</v>
      </c>
      <c r="AG43" s="33">
        <v>1</v>
      </c>
      <c r="AH43" s="33" t="s">
        <v>13</v>
      </c>
      <c r="AI43" s="3" t="s">
        <v>13</v>
      </c>
      <c r="AJ43" s="4">
        <v>42502</v>
      </c>
      <c r="AK43" s="26">
        <f t="shared" si="11"/>
        <v>238</v>
      </c>
      <c r="AL43" s="37"/>
      <c r="AM43" s="37"/>
      <c r="AN43" s="42"/>
      <c r="AO43" s="41"/>
      <c r="AP43" s="40"/>
    </row>
    <row r="44" spans="1:42">
      <c r="A44" s="56">
        <v>42</v>
      </c>
      <c r="B44" s="2">
        <v>68</v>
      </c>
      <c r="C44" s="3">
        <v>1</v>
      </c>
      <c r="D44" s="3">
        <v>1</v>
      </c>
      <c r="E44" s="3">
        <v>1</v>
      </c>
      <c r="F44" s="30">
        <v>2</v>
      </c>
      <c r="G44" s="30">
        <v>2</v>
      </c>
      <c r="H44" s="11">
        <v>42019</v>
      </c>
      <c r="I44" s="3">
        <v>2</v>
      </c>
      <c r="J44" s="3">
        <v>1</v>
      </c>
      <c r="K44" s="3">
        <v>1</v>
      </c>
      <c r="L44" s="3">
        <v>1</v>
      </c>
      <c r="M44" s="30">
        <v>2</v>
      </c>
      <c r="N44" s="3">
        <v>2</v>
      </c>
      <c r="O44" s="3">
        <v>0</v>
      </c>
      <c r="P44" s="12">
        <v>42235</v>
      </c>
      <c r="Q44" s="30">
        <f t="shared" si="10"/>
        <v>36</v>
      </c>
      <c r="R44" s="30">
        <v>0</v>
      </c>
      <c r="S44" s="30">
        <v>0</v>
      </c>
      <c r="T44" s="3" t="s">
        <v>22</v>
      </c>
      <c r="U44" s="3" t="s">
        <v>13</v>
      </c>
      <c r="V44" s="13">
        <v>42256</v>
      </c>
      <c r="W44" s="31">
        <f t="shared" si="2"/>
        <v>216</v>
      </c>
      <c r="X44" s="3">
        <v>1</v>
      </c>
      <c r="Y44" s="13">
        <v>42271</v>
      </c>
      <c r="Z44" s="3">
        <v>4700</v>
      </c>
      <c r="AA44" s="3">
        <v>1650</v>
      </c>
      <c r="AB44" s="3">
        <f t="shared" si="3"/>
        <v>252</v>
      </c>
      <c r="AC44" s="30">
        <v>2.5</v>
      </c>
      <c r="AD44" s="30">
        <v>0</v>
      </c>
      <c r="AE44" s="30">
        <v>0</v>
      </c>
      <c r="AF44" s="33">
        <v>1</v>
      </c>
      <c r="AG44" s="33">
        <v>0</v>
      </c>
      <c r="AH44" s="33" t="s">
        <v>13</v>
      </c>
      <c r="AI44" s="3" t="s">
        <v>13</v>
      </c>
      <c r="AJ44" s="4">
        <v>42386</v>
      </c>
      <c r="AK44" s="26">
        <f t="shared" si="11"/>
        <v>115</v>
      </c>
      <c r="AL44" s="37"/>
      <c r="AM44" s="37"/>
      <c r="AN44" s="42"/>
      <c r="AO44" s="41"/>
      <c r="AP44" s="40"/>
    </row>
    <row r="45" spans="1:42">
      <c r="A45" s="56">
        <v>43</v>
      </c>
      <c r="B45" s="2">
        <v>47</v>
      </c>
      <c r="C45" s="3">
        <v>1</v>
      </c>
      <c r="D45" s="3">
        <v>2</v>
      </c>
      <c r="E45" s="3">
        <v>2</v>
      </c>
      <c r="F45" s="30">
        <v>2</v>
      </c>
      <c r="G45" s="30">
        <v>2</v>
      </c>
      <c r="H45" s="11">
        <v>42174</v>
      </c>
      <c r="I45" s="3">
        <v>1</v>
      </c>
      <c r="J45" s="3">
        <v>1</v>
      </c>
      <c r="K45" s="3">
        <v>1</v>
      </c>
      <c r="L45" s="3">
        <v>1</v>
      </c>
      <c r="M45" s="30">
        <v>2</v>
      </c>
      <c r="N45" s="3">
        <v>1</v>
      </c>
      <c r="O45" s="3">
        <v>0</v>
      </c>
      <c r="P45" s="12">
        <v>42306</v>
      </c>
      <c r="Q45" s="30">
        <f t="shared" si="10"/>
        <v>4</v>
      </c>
      <c r="R45" s="30">
        <v>0</v>
      </c>
      <c r="S45" s="30">
        <v>0</v>
      </c>
      <c r="T45" s="3" t="s">
        <v>13</v>
      </c>
      <c r="U45" s="3">
        <v>95.9</v>
      </c>
      <c r="V45" s="13">
        <v>42300</v>
      </c>
      <c r="W45" s="31">
        <f t="shared" si="2"/>
        <v>132</v>
      </c>
      <c r="X45" s="3">
        <v>1</v>
      </c>
      <c r="Y45" s="13">
        <v>42310</v>
      </c>
      <c r="Z45" s="3">
        <v>4700</v>
      </c>
      <c r="AA45" s="3">
        <v>990</v>
      </c>
      <c r="AB45" s="3">
        <f t="shared" si="3"/>
        <v>136</v>
      </c>
      <c r="AC45" s="30">
        <v>7.7</v>
      </c>
      <c r="AD45" s="30">
        <v>0</v>
      </c>
      <c r="AE45" s="30">
        <v>0</v>
      </c>
      <c r="AF45" s="33">
        <v>0</v>
      </c>
      <c r="AG45" s="33">
        <v>0</v>
      </c>
      <c r="AH45" s="34">
        <v>42369</v>
      </c>
      <c r="AI45" s="3">
        <f>DATEDIF(Y45,AH45,"d")</f>
        <v>59</v>
      </c>
      <c r="AJ45" s="4">
        <v>42369</v>
      </c>
      <c r="AK45" s="26">
        <f t="shared" si="11"/>
        <v>59</v>
      </c>
      <c r="AL45" s="37"/>
      <c r="AM45" s="37"/>
      <c r="AN45" s="42"/>
      <c r="AO45" s="41"/>
      <c r="AP45" s="40"/>
    </row>
    <row r="46" spans="1:42">
      <c r="A46" s="56">
        <v>44</v>
      </c>
      <c r="B46" s="2">
        <v>66</v>
      </c>
      <c r="C46" s="3">
        <v>1</v>
      </c>
      <c r="D46" s="3">
        <v>1</v>
      </c>
      <c r="E46" s="3">
        <v>4</v>
      </c>
      <c r="F46" s="30">
        <v>1</v>
      </c>
      <c r="G46" s="30">
        <v>2</v>
      </c>
      <c r="H46" s="11">
        <v>42269</v>
      </c>
      <c r="I46" s="3">
        <v>2</v>
      </c>
      <c r="J46" s="3">
        <v>1</v>
      </c>
      <c r="K46" s="3">
        <v>2</v>
      </c>
      <c r="L46" s="3">
        <v>1</v>
      </c>
      <c r="M46" s="30">
        <v>1</v>
      </c>
      <c r="N46" s="3">
        <v>2</v>
      </c>
      <c r="O46" s="3">
        <v>0</v>
      </c>
      <c r="P46" s="25">
        <v>42354</v>
      </c>
      <c r="Q46" s="30">
        <f t="shared" si="10"/>
        <v>2</v>
      </c>
      <c r="R46" s="30">
        <v>0</v>
      </c>
      <c r="S46" s="30">
        <v>0</v>
      </c>
      <c r="T46" s="3">
        <v>80</v>
      </c>
      <c r="U46" s="3">
        <v>47</v>
      </c>
      <c r="V46" s="13">
        <v>42333</v>
      </c>
      <c r="W46" s="31">
        <f t="shared" si="2"/>
        <v>85</v>
      </c>
      <c r="X46" s="3">
        <v>1</v>
      </c>
      <c r="Y46" s="13">
        <v>42356</v>
      </c>
      <c r="Z46" s="3">
        <v>1990</v>
      </c>
      <c r="AA46" s="3">
        <v>641</v>
      </c>
      <c r="AB46" s="3">
        <f t="shared" si="3"/>
        <v>87</v>
      </c>
      <c r="AC46" s="30" t="s">
        <v>35</v>
      </c>
      <c r="AD46" s="30">
        <v>0</v>
      </c>
      <c r="AE46" s="30">
        <v>0</v>
      </c>
      <c r="AF46" s="33">
        <v>1</v>
      </c>
      <c r="AG46" s="33">
        <v>0</v>
      </c>
      <c r="AH46" s="33" t="s">
        <v>13</v>
      </c>
      <c r="AI46" s="3" t="s">
        <v>13</v>
      </c>
      <c r="AJ46" s="4">
        <v>42583</v>
      </c>
      <c r="AK46" s="26">
        <f t="shared" si="11"/>
        <v>227</v>
      </c>
      <c r="AL46" s="37"/>
      <c r="AM46" s="37"/>
      <c r="AN46" s="42"/>
      <c r="AO46" s="41"/>
      <c r="AP46" s="40"/>
    </row>
    <row r="47" spans="1:42">
      <c r="A47" s="56">
        <v>45</v>
      </c>
      <c r="B47" s="2">
        <v>66</v>
      </c>
      <c r="C47" s="3">
        <v>2</v>
      </c>
      <c r="D47" s="3">
        <v>2</v>
      </c>
      <c r="E47" s="3">
        <v>1</v>
      </c>
      <c r="F47" s="30">
        <v>2</v>
      </c>
      <c r="G47" s="30">
        <v>2</v>
      </c>
      <c r="H47" s="11">
        <v>42278</v>
      </c>
      <c r="I47" s="3">
        <v>2</v>
      </c>
      <c r="J47" s="3">
        <v>1</v>
      </c>
      <c r="K47" s="3">
        <v>1</v>
      </c>
      <c r="L47" s="3">
        <v>1</v>
      </c>
      <c r="M47" s="30">
        <v>2</v>
      </c>
      <c r="N47" s="3">
        <v>2</v>
      </c>
      <c r="O47" s="3">
        <v>1</v>
      </c>
      <c r="P47" s="12">
        <v>42348</v>
      </c>
      <c r="Q47" s="30">
        <f t="shared" si="10"/>
        <v>36</v>
      </c>
      <c r="R47" s="30">
        <v>0</v>
      </c>
      <c r="S47" s="30">
        <v>0</v>
      </c>
      <c r="T47" s="3" t="s">
        <v>22</v>
      </c>
      <c r="U47" s="3" t="s">
        <v>22</v>
      </c>
      <c r="V47" s="13">
        <v>42375</v>
      </c>
      <c r="W47" s="31">
        <f t="shared" si="2"/>
        <v>70</v>
      </c>
      <c r="X47" s="3">
        <v>1</v>
      </c>
      <c r="Y47" s="13">
        <v>42384</v>
      </c>
      <c r="Z47" s="3">
        <v>2260</v>
      </c>
      <c r="AA47" s="3">
        <v>420</v>
      </c>
      <c r="AB47" s="3">
        <f t="shared" si="3"/>
        <v>106</v>
      </c>
      <c r="AC47" s="30">
        <v>9.5</v>
      </c>
      <c r="AD47" s="30">
        <v>0</v>
      </c>
      <c r="AE47" s="30">
        <v>0</v>
      </c>
      <c r="AF47" s="33">
        <v>0</v>
      </c>
      <c r="AG47" s="33">
        <v>0</v>
      </c>
      <c r="AH47" s="34">
        <v>42417</v>
      </c>
      <c r="AI47" s="3">
        <f>DATEDIF(Y47,AH47,"d")</f>
        <v>33</v>
      </c>
      <c r="AJ47" s="4">
        <v>42417</v>
      </c>
      <c r="AK47" s="26">
        <f t="shared" si="11"/>
        <v>33</v>
      </c>
      <c r="AL47" s="37"/>
      <c r="AM47" s="37"/>
      <c r="AN47" s="42"/>
      <c r="AO47" s="41"/>
      <c r="AP47" s="40"/>
    </row>
    <row r="48" spans="1:42">
      <c r="A48" s="56">
        <v>46</v>
      </c>
      <c r="B48" s="2">
        <v>58</v>
      </c>
      <c r="C48" s="3">
        <v>2</v>
      </c>
      <c r="D48" s="3">
        <v>1</v>
      </c>
      <c r="E48" s="3">
        <v>4</v>
      </c>
      <c r="F48" s="30">
        <v>1</v>
      </c>
      <c r="G48" s="30">
        <v>2</v>
      </c>
      <c r="H48" s="11">
        <v>42229</v>
      </c>
      <c r="I48" s="3">
        <v>2</v>
      </c>
      <c r="J48" s="3">
        <v>1</v>
      </c>
      <c r="K48" s="3">
        <v>1</v>
      </c>
      <c r="L48" s="3">
        <v>1</v>
      </c>
      <c r="M48" s="30">
        <v>2</v>
      </c>
      <c r="N48" s="3">
        <v>2</v>
      </c>
      <c r="O48" s="3">
        <v>0</v>
      </c>
      <c r="P48" s="12">
        <v>42377</v>
      </c>
      <c r="Q48" s="30">
        <f t="shared" si="10"/>
        <v>10</v>
      </c>
      <c r="R48" s="30">
        <v>0</v>
      </c>
      <c r="S48" s="30">
        <v>0</v>
      </c>
      <c r="T48" s="3">
        <v>47</v>
      </c>
      <c r="U48" s="3">
        <v>67</v>
      </c>
      <c r="V48" s="13">
        <v>42378</v>
      </c>
      <c r="W48" s="31">
        <f t="shared" si="2"/>
        <v>148</v>
      </c>
      <c r="X48" s="3">
        <v>1</v>
      </c>
      <c r="Y48" s="13">
        <v>42387</v>
      </c>
      <c r="Z48" s="3">
        <v>1060</v>
      </c>
      <c r="AA48" s="3">
        <v>500</v>
      </c>
      <c r="AB48" s="3">
        <f t="shared" si="3"/>
        <v>158</v>
      </c>
      <c r="AC48" s="30">
        <v>1</v>
      </c>
      <c r="AD48" s="30">
        <v>0</v>
      </c>
      <c r="AE48" s="30">
        <v>0</v>
      </c>
      <c r="AF48" s="33">
        <v>1</v>
      </c>
      <c r="AG48" s="33">
        <v>0</v>
      </c>
      <c r="AH48" s="33" t="s">
        <v>13</v>
      </c>
      <c r="AI48" s="3" t="s">
        <v>13</v>
      </c>
      <c r="AJ48" s="4">
        <v>42583</v>
      </c>
      <c r="AK48" s="26">
        <f t="shared" si="11"/>
        <v>196</v>
      </c>
      <c r="AL48" s="37"/>
      <c r="AM48" s="37"/>
      <c r="AN48" s="42"/>
      <c r="AO48" s="41"/>
      <c r="AP48" s="40"/>
    </row>
    <row r="49" spans="1:46">
      <c r="A49" s="56">
        <v>47</v>
      </c>
      <c r="B49" s="2">
        <v>71</v>
      </c>
      <c r="C49" s="3">
        <v>1</v>
      </c>
      <c r="D49" s="3">
        <v>2</v>
      </c>
      <c r="E49" s="3">
        <v>1</v>
      </c>
      <c r="F49" s="30">
        <v>2</v>
      </c>
      <c r="G49" s="30">
        <v>2</v>
      </c>
      <c r="H49" s="11">
        <v>42367</v>
      </c>
      <c r="I49" s="3">
        <v>2</v>
      </c>
      <c r="J49" s="3">
        <v>1</v>
      </c>
      <c r="K49" s="3">
        <v>1</v>
      </c>
      <c r="L49" s="3">
        <v>1</v>
      </c>
      <c r="M49" s="30">
        <v>2</v>
      </c>
      <c r="N49" s="3">
        <v>2</v>
      </c>
      <c r="O49" s="3">
        <v>0</v>
      </c>
      <c r="P49" s="12">
        <v>42431</v>
      </c>
      <c r="Q49" s="30">
        <f t="shared" si="10"/>
        <v>2</v>
      </c>
      <c r="R49" s="30">
        <v>0</v>
      </c>
      <c r="S49" s="30">
        <v>0</v>
      </c>
      <c r="T49" s="3">
        <v>86.5</v>
      </c>
      <c r="U49" s="3" t="s">
        <v>13</v>
      </c>
      <c r="V49" s="13">
        <v>42431</v>
      </c>
      <c r="W49" s="31">
        <f t="shared" si="2"/>
        <v>64</v>
      </c>
      <c r="X49" s="3">
        <v>1</v>
      </c>
      <c r="Y49" s="13">
        <v>42433</v>
      </c>
      <c r="Z49" s="3">
        <v>2400</v>
      </c>
      <c r="AA49" s="3">
        <v>420</v>
      </c>
      <c r="AB49" s="3">
        <f t="shared" si="3"/>
        <v>66</v>
      </c>
      <c r="AC49" s="30">
        <v>29</v>
      </c>
      <c r="AD49" s="30">
        <v>0</v>
      </c>
      <c r="AE49" s="30">
        <v>0</v>
      </c>
      <c r="AF49" s="33">
        <v>1</v>
      </c>
      <c r="AG49" s="33">
        <v>0</v>
      </c>
      <c r="AH49" s="33" t="s">
        <v>13</v>
      </c>
      <c r="AI49" s="3" t="s">
        <v>13</v>
      </c>
      <c r="AJ49" s="4">
        <v>42537</v>
      </c>
      <c r="AK49" s="26">
        <f t="shared" si="11"/>
        <v>104</v>
      </c>
      <c r="AL49" s="37"/>
      <c r="AM49" s="37"/>
      <c r="AN49" s="42"/>
      <c r="AO49" s="41"/>
      <c r="AP49" s="40"/>
    </row>
    <row r="50" spans="1:46">
      <c r="A50" s="56">
        <v>48</v>
      </c>
      <c r="B50" s="2">
        <v>27</v>
      </c>
      <c r="C50" s="2">
        <v>2</v>
      </c>
      <c r="D50" s="2">
        <v>1</v>
      </c>
      <c r="E50" s="2">
        <v>1</v>
      </c>
      <c r="F50" s="59">
        <v>2</v>
      </c>
      <c r="G50" s="30">
        <v>2</v>
      </c>
      <c r="H50" s="11">
        <v>42117</v>
      </c>
      <c r="I50" s="3">
        <v>2</v>
      </c>
      <c r="J50" s="3">
        <v>2</v>
      </c>
      <c r="K50" s="2">
        <v>1</v>
      </c>
      <c r="L50" s="2">
        <v>1</v>
      </c>
      <c r="M50" s="30">
        <v>2</v>
      </c>
      <c r="N50" s="2">
        <v>1</v>
      </c>
      <c r="O50" s="2">
        <v>1</v>
      </c>
      <c r="P50" s="12">
        <v>42474</v>
      </c>
      <c r="Q50" s="30">
        <f t="shared" si="10"/>
        <v>4</v>
      </c>
      <c r="R50" s="30">
        <v>0</v>
      </c>
      <c r="S50" s="30">
        <v>0</v>
      </c>
      <c r="T50" s="3">
        <v>95</v>
      </c>
      <c r="U50" s="3">
        <v>83</v>
      </c>
      <c r="V50" s="13">
        <v>42467</v>
      </c>
      <c r="W50" s="31">
        <f t="shared" si="2"/>
        <v>357</v>
      </c>
      <c r="X50" s="3">
        <v>2</v>
      </c>
      <c r="Y50" s="13">
        <v>42478</v>
      </c>
      <c r="Z50" s="3">
        <v>3640</v>
      </c>
      <c r="AA50" s="3">
        <v>2320</v>
      </c>
      <c r="AB50" s="3">
        <f t="shared" si="3"/>
        <v>361</v>
      </c>
      <c r="AC50" s="30">
        <v>28</v>
      </c>
      <c r="AD50" s="30">
        <v>0</v>
      </c>
      <c r="AE50" s="30">
        <v>0</v>
      </c>
      <c r="AF50" s="35">
        <v>1</v>
      </c>
      <c r="AG50" s="33">
        <v>0</v>
      </c>
      <c r="AH50" s="35" t="s">
        <v>13</v>
      </c>
      <c r="AI50" s="3" t="s">
        <v>13</v>
      </c>
      <c r="AJ50" s="4">
        <v>42538</v>
      </c>
      <c r="AK50" s="26">
        <f t="shared" si="11"/>
        <v>60</v>
      </c>
      <c r="AL50" s="37"/>
      <c r="AM50" s="37"/>
      <c r="AN50" s="45"/>
      <c r="AO50" s="46"/>
      <c r="AP50" s="40"/>
    </row>
    <row r="51" spans="1:46">
      <c r="A51" s="56">
        <v>49</v>
      </c>
      <c r="B51" s="2">
        <v>68</v>
      </c>
      <c r="C51" s="2">
        <v>1</v>
      </c>
      <c r="D51" s="2">
        <v>2</v>
      </c>
      <c r="E51" s="2">
        <v>1</v>
      </c>
      <c r="F51" s="59">
        <v>2</v>
      </c>
      <c r="G51" s="30">
        <v>2</v>
      </c>
      <c r="H51" s="11">
        <v>42299</v>
      </c>
      <c r="I51" s="3">
        <v>2</v>
      </c>
      <c r="J51" s="3">
        <v>2</v>
      </c>
      <c r="K51" s="2">
        <v>2</v>
      </c>
      <c r="L51" s="2">
        <v>1</v>
      </c>
      <c r="M51" s="30">
        <v>1</v>
      </c>
      <c r="N51" s="2">
        <v>2</v>
      </c>
      <c r="O51" s="6">
        <v>0</v>
      </c>
      <c r="P51" s="12">
        <v>42488</v>
      </c>
      <c r="Q51" s="30">
        <f t="shared" si="10"/>
        <v>4</v>
      </c>
      <c r="R51" s="30">
        <v>0</v>
      </c>
      <c r="S51" s="30">
        <v>0</v>
      </c>
      <c r="T51" s="3" t="s">
        <v>22</v>
      </c>
      <c r="U51" s="3" t="s">
        <v>13</v>
      </c>
      <c r="V51" s="13">
        <v>42486</v>
      </c>
      <c r="W51" s="31">
        <f>DATEDIF(H51,P51,"d")</f>
        <v>189</v>
      </c>
      <c r="X51" s="3">
        <v>1</v>
      </c>
      <c r="Y51" s="13">
        <v>42492</v>
      </c>
      <c r="Z51" s="3">
        <v>2420</v>
      </c>
      <c r="AA51" s="3">
        <v>1370</v>
      </c>
      <c r="AB51" s="3">
        <f t="shared" si="3"/>
        <v>193</v>
      </c>
      <c r="AC51" s="30">
        <v>26.4</v>
      </c>
      <c r="AD51" s="30">
        <v>0</v>
      </c>
      <c r="AE51" s="30">
        <v>0</v>
      </c>
      <c r="AF51" s="35">
        <v>0</v>
      </c>
      <c r="AG51" s="33">
        <v>0</v>
      </c>
      <c r="AH51" s="32">
        <v>42592</v>
      </c>
      <c r="AI51" s="3">
        <f>DATEDIF(Y51,AH51,"d")</f>
        <v>100</v>
      </c>
      <c r="AJ51" s="4">
        <v>42592</v>
      </c>
      <c r="AK51" s="26">
        <f t="shared" si="11"/>
        <v>100</v>
      </c>
      <c r="AL51" s="37"/>
      <c r="AM51" s="37"/>
      <c r="AN51" s="45"/>
      <c r="AO51" s="46"/>
      <c r="AP51" s="40"/>
    </row>
    <row r="52" spans="1:46">
      <c r="A52" s="56">
        <v>50</v>
      </c>
      <c r="B52" s="2">
        <v>56</v>
      </c>
      <c r="C52" s="2">
        <v>1</v>
      </c>
      <c r="D52" s="2">
        <v>1</v>
      </c>
      <c r="E52" s="2">
        <v>4</v>
      </c>
      <c r="F52" s="59">
        <v>1</v>
      </c>
      <c r="G52" s="30">
        <v>2</v>
      </c>
      <c r="H52" s="11">
        <v>42404</v>
      </c>
      <c r="I52" s="3">
        <v>2</v>
      </c>
      <c r="J52" s="3">
        <v>2</v>
      </c>
      <c r="K52" s="2">
        <v>1</v>
      </c>
      <c r="L52" s="2">
        <v>1</v>
      </c>
      <c r="M52" s="30">
        <v>2</v>
      </c>
      <c r="N52" s="2">
        <v>2</v>
      </c>
      <c r="O52" s="6">
        <v>0</v>
      </c>
      <c r="P52" s="12">
        <v>42474</v>
      </c>
      <c r="Q52" s="30">
        <f t="shared" si="10"/>
        <v>25</v>
      </c>
      <c r="R52" s="30">
        <v>0</v>
      </c>
      <c r="S52" s="30">
        <v>0</v>
      </c>
      <c r="T52" s="3">
        <v>0</v>
      </c>
      <c r="U52" s="3">
        <v>0</v>
      </c>
      <c r="V52" s="13">
        <v>42439</v>
      </c>
      <c r="W52" s="31">
        <f>DATEDIF(H52,P52,"d")</f>
        <v>70</v>
      </c>
      <c r="X52" s="3">
        <v>1</v>
      </c>
      <c r="Y52" s="13">
        <v>42499</v>
      </c>
      <c r="Z52" s="3">
        <v>2440</v>
      </c>
      <c r="AA52" s="3">
        <v>400</v>
      </c>
      <c r="AB52" s="3">
        <f t="shared" si="3"/>
        <v>95</v>
      </c>
      <c r="AC52" s="30">
        <v>4</v>
      </c>
      <c r="AD52" s="30">
        <v>0</v>
      </c>
      <c r="AE52" s="30">
        <v>0</v>
      </c>
      <c r="AF52" s="35">
        <v>1</v>
      </c>
      <c r="AG52" s="33">
        <v>0</v>
      </c>
      <c r="AH52" s="35" t="s">
        <v>13</v>
      </c>
      <c r="AI52" s="3" t="s">
        <v>13</v>
      </c>
      <c r="AJ52" s="4">
        <v>42521</v>
      </c>
      <c r="AK52" s="26">
        <f t="shared" si="11"/>
        <v>22</v>
      </c>
      <c r="AL52" s="37"/>
      <c r="AM52" s="37"/>
      <c r="AN52" s="45"/>
      <c r="AO52" s="46"/>
      <c r="AP52" s="40"/>
    </row>
    <row r="53" spans="1:46">
      <c r="A53" s="56">
        <v>51</v>
      </c>
      <c r="B53" s="2">
        <v>49</v>
      </c>
      <c r="C53" s="2">
        <v>2</v>
      </c>
      <c r="D53" s="2">
        <v>2</v>
      </c>
      <c r="E53" s="2">
        <v>1</v>
      </c>
      <c r="F53" s="59">
        <v>2</v>
      </c>
      <c r="G53" s="30">
        <v>2</v>
      </c>
      <c r="H53" s="11">
        <v>42341</v>
      </c>
      <c r="I53" s="3">
        <v>2</v>
      </c>
      <c r="J53" s="3">
        <v>2</v>
      </c>
      <c r="K53" s="2">
        <v>1</v>
      </c>
      <c r="L53" s="2">
        <v>1</v>
      </c>
      <c r="M53" s="30">
        <v>2</v>
      </c>
      <c r="N53" s="2">
        <v>2</v>
      </c>
      <c r="O53" s="6">
        <v>0</v>
      </c>
      <c r="P53" s="12">
        <v>42502</v>
      </c>
      <c r="Q53" s="30">
        <f t="shared" si="10"/>
        <v>0</v>
      </c>
      <c r="R53" s="30">
        <v>0</v>
      </c>
      <c r="S53" s="30">
        <v>0</v>
      </c>
      <c r="T53" s="3">
        <v>86</v>
      </c>
      <c r="U53" s="3" t="s">
        <v>13</v>
      </c>
      <c r="V53" s="13">
        <v>42496</v>
      </c>
      <c r="W53" s="31">
        <f>DATEDIF(H53,P53,"d")</f>
        <v>161</v>
      </c>
      <c r="X53" s="3">
        <v>1</v>
      </c>
      <c r="Y53" s="13">
        <v>42502</v>
      </c>
      <c r="Z53" s="3">
        <v>1700</v>
      </c>
      <c r="AA53" s="3">
        <v>350</v>
      </c>
      <c r="AB53" s="3">
        <f t="shared" si="3"/>
        <v>161</v>
      </c>
      <c r="AC53" s="30">
        <v>10</v>
      </c>
      <c r="AD53" s="30">
        <v>0</v>
      </c>
      <c r="AE53" s="30">
        <v>0</v>
      </c>
      <c r="AF53" s="35">
        <v>1</v>
      </c>
      <c r="AG53" s="33">
        <v>0</v>
      </c>
      <c r="AH53" s="35" t="s">
        <v>13</v>
      </c>
      <c r="AI53" s="3" t="s">
        <v>13</v>
      </c>
      <c r="AJ53" s="4">
        <v>42567</v>
      </c>
      <c r="AK53" s="26">
        <f t="shared" si="11"/>
        <v>65</v>
      </c>
      <c r="AL53" s="37"/>
      <c r="AM53" s="37"/>
      <c r="AN53" s="45"/>
      <c r="AO53" s="46"/>
      <c r="AP53" s="40"/>
    </row>
    <row r="54" spans="1:46">
      <c r="A54" s="60">
        <v>52</v>
      </c>
      <c r="B54" s="6">
        <v>57</v>
      </c>
      <c r="C54" s="6">
        <v>1</v>
      </c>
      <c r="D54" s="6">
        <v>1</v>
      </c>
      <c r="E54" s="6">
        <v>1</v>
      </c>
      <c r="F54" s="61">
        <v>1</v>
      </c>
      <c r="G54" s="30">
        <v>2</v>
      </c>
      <c r="H54" s="19">
        <v>42340</v>
      </c>
      <c r="I54" s="3">
        <v>2</v>
      </c>
      <c r="J54" s="3">
        <v>2</v>
      </c>
      <c r="K54" s="6">
        <v>1</v>
      </c>
      <c r="L54" s="6">
        <v>1</v>
      </c>
      <c r="M54" s="30">
        <v>2</v>
      </c>
      <c r="N54" s="6">
        <v>2</v>
      </c>
      <c r="O54" s="6">
        <v>0</v>
      </c>
      <c r="P54" s="20">
        <v>42530</v>
      </c>
      <c r="Q54" s="30">
        <f>DATEDIF(P54,Y54,"d")</f>
        <v>1</v>
      </c>
      <c r="R54" s="62">
        <v>0</v>
      </c>
      <c r="S54" s="62">
        <v>0</v>
      </c>
      <c r="T54" s="21">
        <v>52.5</v>
      </c>
      <c r="U54" s="21" t="s">
        <v>13</v>
      </c>
      <c r="V54" s="22">
        <v>42516</v>
      </c>
      <c r="W54" s="31">
        <f>DATEDIF(H54,P54,"d")</f>
        <v>190</v>
      </c>
      <c r="X54" s="3">
        <v>1</v>
      </c>
      <c r="Y54" s="23">
        <v>42531</v>
      </c>
      <c r="Z54" s="21">
        <v>3000</v>
      </c>
      <c r="AA54" s="21">
        <v>900</v>
      </c>
      <c r="AB54" s="3">
        <f t="shared" si="3"/>
        <v>191</v>
      </c>
      <c r="AC54" s="62">
        <v>6.1</v>
      </c>
      <c r="AD54" s="30">
        <v>0</v>
      </c>
      <c r="AE54" s="30">
        <v>0</v>
      </c>
      <c r="AF54" s="36">
        <v>1</v>
      </c>
      <c r="AG54" s="33">
        <v>0</v>
      </c>
      <c r="AH54" s="36" t="s">
        <v>13</v>
      </c>
      <c r="AI54" s="3" t="s">
        <v>13</v>
      </c>
      <c r="AJ54" s="27">
        <v>42567</v>
      </c>
      <c r="AK54" s="26">
        <f t="shared" si="11"/>
        <v>36</v>
      </c>
      <c r="AL54" s="37"/>
      <c r="AM54" s="37"/>
      <c r="AN54" s="47"/>
      <c r="AO54" s="48"/>
      <c r="AP54" s="40"/>
    </row>
    <row r="55" spans="1:46">
      <c r="A55" s="68" t="s">
        <v>41</v>
      </c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N55" s="37"/>
      <c r="AO55" s="37"/>
      <c r="AP55" s="37"/>
      <c r="AQ55" s="37"/>
      <c r="AR55" s="37"/>
      <c r="AS55" s="37"/>
      <c r="AT55" s="37"/>
    </row>
    <row r="56" spans="1:46">
      <c r="A56" s="30">
        <v>1</v>
      </c>
      <c r="B56" s="30">
        <v>52</v>
      </c>
      <c r="C56" s="30">
        <v>2</v>
      </c>
      <c r="D56" s="30">
        <v>2</v>
      </c>
      <c r="E56" s="30"/>
      <c r="F56" s="30"/>
      <c r="G56" s="30"/>
      <c r="H56" s="28">
        <v>40666</v>
      </c>
      <c r="I56" s="30">
        <v>2</v>
      </c>
      <c r="J56" s="30">
        <v>2</v>
      </c>
      <c r="K56" s="30"/>
      <c r="L56" s="30">
        <v>2</v>
      </c>
      <c r="M56" s="30"/>
      <c r="N56" s="29">
        <v>2</v>
      </c>
      <c r="O56" s="29"/>
      <c r="P56" s="30"/>
      <c r="Q56" s="30"/>
      <c r="R56" s="30">
        <v>0</v>
      </c>
      <c r="S56" s="30">
        <v>1</v>
      </c>
      <c r="T56" s="30"/>
      <c r="U56" s="30"/>
      <c r="V56" s="30"/>
      <c r="W56" s="30"/>
      <c r="X56" s="30"/>
      <c r="Y56" s="64"/>
      <c r="Z56" s="30"/>
      <c r="AA56" s="30"/>
      <c r="AB56" s="30"/>
      <c r="AC56" s="30"/>
      <c r="AD56" s="30"/>
      <c r="AE56" s="30"/>
      <c r="AF56" s="30"/>
      <c r="AG56" s="30"/>
      <c r="AH56" s="63"/>
      <c r="AI56" s="30"/>
      <c r="AJ56" s="30"/>
      <c r="AK56" s="30"/>
      <c r="AL56" s="30">
        <f>DATEDIF(H56,Y10,"d")</f>
        <v>1049</v>
      </c>
      <c r="AM56" s="49"/>
      <c r="AN56" s="37"/>
      <c r="AO56" s="37"/>
      <c r="AP56" s="37"/>
      <c r="AQ56" s="37"/>
      <c r="AR56" s="37"/>
      <c r="AS56" s="37"/>
      <c r="AT56" s="37"/>
    </row>
    <row r="57" spans="1:46">
      <c r="A57" s="30">
        <v>2</v>
      </c>
      <c r="B57" s="30">
        <v>51</v>
      </c>
      <c r="C57" s="30">
        <v>2</v>
      </c>
      <c r="D57" s="30">
        <v>2</v>
      </c>
      <c r="E57" s="30"/>
      <c r="F57" s="30"/>
      <c r="G57" s="30"/>
      <c r="H57" s="28">
        <v>40827</v>
      </c>
      <c r="I57" s="30">
        <v>2</v>
      </c>
      <c r="J57" s="30">
        <v>2</v>
      </c>
      <c r="K57" s="30"/>
      <c r="L57" s="30">
        <v>1</v>
      </c>
      <c r="M57" s="30"/>
      <c r="N57" s="29">
        <v>1</v>
      </c>
      <c r="O57" s="29"/>
      <c r="P57" s="30"/>
      <c r="Q57" s="30"/>
      <c r="R57" s="30">
        <v>0</v>
      </c>
      <c r="S57" s="30">
        <v>1</v>
      </c>
      <c r="T57" s="30"/>
      <c r="U57" s="30"/>
      <c r="V57" s="30"/>
      <c r="W57" s="30"/>
      <c r="X57" s="30"/>
      <c r="Y57" s="64"/>
      <c r="Z57" s="30"/>
      <c r="AA57" s="30"/>
      <c r="AB57" s="30"/>
      <c r="AC57" s="30"/>
      <c r="AD57" s="30"/>
      <c r="AE57" s="30"/>
      <c r="AF57" s="30"/>
      <c r="AG57" s="30"/>
      <c r="AH57" s="63"/>
      <c r="AI57" s="30"/>
      <c r="AJ57" s="30"/>
      <c r="AK57" s="30"/>
      <c r="AL57" s="30">
        <f t="shared" ref="AL57:AL65" si="12">DATEDIF(H57,Y11,"d")</f>
        <v>892</v>
      </c>
      <c r="AM57" s="49"/>
      <c r="AN57" s="37"/>
      <c r="AO57" s="37"/>
      <c r="AP57" s="37"/>
      <c r="AQ57" s="37"/>
      <c r="AR57" s="37"/>
      <c r="AS57" s="37"/>
      <c r="AT57" s="37"/>
    </row>
    <row r="58" spans="1:46">
      <c r="A58" s="30">
        <v>3</v>
      </c>
      <c r="B58" s="30">
        <v>44</v>
      </c>
      <c r="C58" s="30">
        <v>2</v>
      </c>
      <c r="D58" s="30">
        <v>2</v>
      </c>
      <c r="E58" s="30"/>
      <c r="F58" s="30"/>
      <c r="G58" s="30"/>
      <c r="H58" s="28">
        <v>40452</v>
      </c>
      <c r="I58" s="30">
        <v>2</v>
      </c>
      <c r="J58" s="30">
        <v>2</v>
      </c>
      <c r="K58" s="30"/>
      <c r="L58" s="30">
        <v>1</v>
      </c>
      <c r="M58" s="30"/>
      <c r="N58" s="29">
        <v>1</v>
      </c>
      <c r="O58" s="29"/>
      <c r="P58" s="30"/>
      <c r="Q58" s="30"/>
      <c r="R58" s="29">
        <v>1</v>
      </c>
      <c r="S58" s="30">
        <v>1</v>
      </c>
      <c r="T58" s="30"/>
      <c r="U58" s="30"/>
      <c r="V58" s="30"/>
      <c r="W58" s="30"/>
      <c r="X58" s="30"/>
      <c r="Y58" s="64"/>
      <c r="Z58" s="30"/>
      <c r="AA58" s="30"/>
      <c r="AB58" s="30"/>
      <c r="AC58" s="30"/>
      <c r="AD58" s="30"/>
      <c r="AE58" s="30"/>
      <c r="AF58" s="30"/>
      <c r="AG58" s="30"/>
      <c r="AH58" s="63"/>
      <c r="AI58" s="30"/>
      <c r="AJ58" s="30"/>
      <c r="AK58" s="30"/>
      <c r="AL58" s="30">
        <f t="shared" si="12"/>
        <v>1267</v>
      </c>
      <c r="AM58" s="49"/>
      <c r="AN58" s="37"/>
      <c r="AO58" s="37"/>
      <c r="AP58" s="37"/>
      <c r="AQ58" s="37"/>
      <c r="AR58" s="37"/>
      <c r="AS58" s="37"/>
      <c r="AT58" s="37"/>
    </row>
    <row r="59" spans="1:46">
      <c r="A59" s="30">
        <v>4</v>
      </c>
      <c r="B59" s="30">
        <v>42</v>
      </c>
      <c r="C59" s="30">
        <v>1</v>
      </c>
      <c r="D59" s="30">
        <v>2</v>
      </c>
      <c r="E59" s="30"/>
      <c r="F59" s="30"/>
      <c r="G59" s="30"/>
      <c r="H59" s="28">
        <v>40459</v>
      </c>
      <c r="I59" s="30">
        <v>2</v>
      </c>
      <c r="J59" s="30">
        <v>2</v>
      </c>
      <c r="K59" s="30"/>
      <c r="L59" s="30">
        <v>1</v>
      </c>
      <c r="M59" s="30"/>
      <c r="N59" s="29">
        <v>1</v>
      </c>
      <c r="O59" s="29"/>
      <c r="P59" s="30"/>
      <c r="Q59" s="30"/>
      <c r="R59" s="29">
        <v>0</v>
      </c>
      <c r="S59" s="30">
        <v>0</v>
      </c>
      <c r="T59" s="30"/>
      <c r="U59" s="30"/>
      <c r="V59" s="30"/>
      <c r="W59" s="30"/>
      <c r="X59" s="30"/>
      <c r="Y59" s="64"/>
      <c r="Z59" s="30"/>
      <c r="AA59" s="30"/>
      <c r="AB59" s="30"/>
      <c r="AC59" s="30"/>
      <c r="AD59" s="30"/>
      <c r="AE59" s="30"/>
      <c r="AF59" s="30"/>
      <c r="AG59" s="30"/>
      <c r="AH59" s="63"/>
      <c r="AI59" s="30"/>
      <c r="AJ59" s="30"/>
      <c r="AK59" s="30"/>
      <c r="AL59" s="30">
        <f t="shared" si="12"/>
        <v>1264</v>
      </c>
      <c r="AM59" s="49"/>
      <c r="AN59" s="37"/>
      <c r="AO59" s="37"/>
      <c r="AP59" s="37"/>
      <c r="AQ59" s="37"/>
      <c r="AR59" s="37"/>
      <c r="AS59" s="37"/>
      <c r="AT59" s="37"/>
    </row>
    <row r="60" spans="1:46">
      <c r="A60" s="30">
        <v>5</v>
      </c>
      <c r="B60" s="30">
        <v>53</v>
      </c>
      <c r="C60" s="30">
        <v>2</v>
      </c>
      <c r="D60" s="30">
        <v>2</v>
      </c>
      <c r="E60" s="30"/>
      <c r="F60" s="30"/>
      <c r="G60" s="30"/>
      <c r="H60" s="28">
        <v>40830</v>
      </c>
      <c r="I60" s="30">
        <v>2</v>
      </c>
      <c r="J60" s="30">
        <v>1</v>
      </c>
      <c r="K60" s="30"/>
      <c r="L60" s="30">
        <v>1</v>
      </c>
      <c r="M60" s="30"/>
      <c r="N60" s="29">
        <v>1</v>
      </c>
      <c r="O60" s="29"/>
      <c r="P60" s="30"/>
      <c r="Q60" s="30"/>
      <c r="R60" s="30">
        <v>1</v>
      </c>
      <c r="S60" s="30">
        <v>0</v>
      </c>
      <c r="T60" s="30"/>
      <c r="U60" s="30"/>
      <c r="V60" s="30"/>
      <c r="W60" s="30"/>
      <c r="X60" s="30"/>
      <c r="Y60" s="64"/>
      <c r="Z60" s="30"/>
      <c r="AA60" s="30"/>
      <c r="AB60" s="30"/>
      <c r="AC60" s="30"/>
      <c r="AD60" s="30"/>
      <c r="AE60" s="30"/>
      <c r="AF60" s="30"/>
      <c r="AG60" s="30"/>
      <c r="AH60" s="63"/>
      <c r="AI60" s="30"/>
      <c r="AJ60" s="30"/>
      <c r="AK60" s="30"/>
      <c r="AL60" s="30">
        <f t="shared" si="12"/>
        <v>922</v>
      </c>
      <c r="AM60" s="49"/>
      <c r="AN60" s="37"/>
      <c r="AO60" s="37"/>
      <c r="AP60" s="37"/>
      <c r="AQ60" s="37"/>
      <c r="AR60" s="37"/>
      <c r="AS60" s="37"/>
      <c r="AT60" s="37"/>
    </row>
    <row r="61" spans="1:46">
      <c r="A61" s="30">
        <v>6</v>
      </c>
      <c r="B61" s="30">
        <v>43</v>
      </c>
      <c r="C61" s="30">
        <v>1</v>
      </c>
      <c r="D61" s="30">
        <v>2</v>
      </c>
      <c r="E61" s="30"/>
      <c r="F61" s="30"/>
      <c r="G61" s="30"/>
      <c r="H61" s="28">
        <v>40897</v>
      </c>
      <c r="I61" s="30">
        <v>2</v>
      </c>
      <c r="J61" s="30">
        <v>2</v>
      </c>
      <c r="K61" s="30"/>
      <c r="L61" s="30">
        <v>1</v>
      </c>
      <c r="M61" s="30"/>
      <c r="N61" s="29">
        <v>1</v>
      </c>
      <c r="O61" s="29"/>
      <c r="P61" s="30"/>
      <c r="Q61" s="30"/>
      <c r="R61" s="30">
        <v>1</v>
      </c>
      <c r="S61" s="30">
        <v>0</v>
      </c>
      <c r="T61" s="30"/>
      <c r="U61" s="30"/>
      <c r="V61" s="30"/>
      <c r="W61" s="30"/>
      <c r="X61" s="30"/>
      <c r="Y61" s="64"/>
      <c r="Z61" s="30"/>
      <c r="AA61" s="30"/>
      <c r="AB61" s="30"/>
      <c r="AC61" s="30"/>
      <c r="AD61" s="30"/>
      <c r="AE61" s="30"/>
      <c r="AF61" s="30"/>
      <c r="AG61" s="30"/>
      <c r="AH61" s="63"/>
      <c r="AI61" s="30"/>
      <c r="AJ61" s="30"/>
      <c r="AK61" s="30"/>
      <c r="AL61" s="30">
        <f t="shared" si="12"/>
        <v>885</v>
      </c>
      <c r="AM61" s="49"/>
      <c r="AN61" s="37"/>
      <c r="AO61" s="37"/>
      <c r="AP61" s="37"/>
      <c r="AQ61" s="37"/>
      <c r="AR61" s="37"/>
      <c r="AS61" s="37"/>
      <c r="AT61" s="37"/>
    </row>
    <row r="62" spans="1:46">
      <c r="A62" s="30">
        <v>7</v>
      </c>
      <c r="B62" s="30">
        <v>32</v>
      </c>
      <c r="C62" s="30">
        <v>1</v>
      </c>
      <c r="D62" s="30">
        <v>2</v>
      </c>
      <c r="E62" s="30"/>
      <c r="F62" s="30"/>
      <c r="G62" s="30"/>
      <c r="H62" s="28">
        <v>41044</v>
      </c>
      <c r="I62" s="30">
        <v>2</v>
      </c>
      <c r="J62" s="30">
        <v>2</v>
      </c>
      <c r="K62" s="30"/>
      <c r="L62" s="30">
        <v>1</v>
      </c>
      <c r="M62" s="30"/>
      <c r="N62" s="29">
        <v>1</v>
      </c>
      <c r="O62" s="29"/>
      <c r="P62" s="30"/>
      <c r="Q62" s="30"/>
      <c r="R62" s="30">
        <v>1</v>
      </c>
      <c r="S62" s="30">
        <v>0</v>
      </c>
      <c r="T62" s="30"/>
      <c r="U62" s="30"/>
      <c r="V62" s="30"/>
      <c r="W62" s="30"/>
      <c r="X62" s="30"/>
      <c r="Y62" s="64"/>
      <c r="Z62" s="30"/>
      <c r="AA62" s="30"/>
      <c r="AB62" s="30"/>
      <c r="AC62" s="30"/>
      <c r="AD62" s="30"/>
      <c r="AE62" s="30"/>
      <c r="AF62" s="30"/>
      <c r="AG62" s="30"/>
      <c r="AH62" s="63"/>
      <c r="AI62" s="30"/>
      <c r="AJ62" s="30"/>
      <c r="AK62" s="30"/>
      <c r="AL62" s="30">
        <f t="shared" si="12"/>
        <v>738</v>
      </c>
      <c r="AM62" s="49"/>
      <c r="AN62" s="37"/>
      <c r="AO62" s="37"/>
      <c r="AP62" s="37"/>
      <c r="AQ62" s="37"/>
      <c r="AR62" s="37"/>
      <c r="AS62" s="37"/>
      <c r="AT62" s="37"/>
    </row>
    <row r="63" spans="1:46">
      <c r="A63" s="30">
        <v>8</v>
      </c>
      <c r="B63" s="30">
        <v>62</v>
      </c>
      <c r="C63" s="30">
        <v>1</v>
      </c>
      <c r="D63" s="30">
        <v>2</v>
      </c>
      <c r="E63" s="30"/>
      <c r="F63" s="30"/>
      <c r="G63" s="30"/>
      <c r="H63" s="28">
        <v>41137</v>
      </c>
      <c r="I63" s="30">
        <v>2</v>
      </c>
      <c r="J63" s="30">
        <v>2</v>
      </c>
      <c r="K63" s="30"/>
      <c r="L63" s="30">
        <v>1</v>
      </c>
      <c r="M63" s="30"/>
      <c r="N63" s="29">
        <v>2</v>
      </c>
      <c r="O63" s="29"/>
      <c r="P63" s="30"/>
      <c r="Q63" s="30"/>
      <c r="R63" s="29">
        <v>0</v>
      </c>
      <c r="S63" s="30">
        <v>0</v>
      </c>
      <c r="T63" s="30"/>
      <c r="U63" s="30"/>
      <c r="V63" s="30"/>
      <c r="W63" s="30"/>
      <c r="X63" s="30"/>
      <c r="Y63" s="64"/>
      <c r="Z63" s="30"/>
      <c r="AA63" s="30"/>
      <c r="AB63" s="30"/>
      <c r="AC63" s="30"/>
      <c r="AD63" s="30"/>
      <c r="AE63" s="30"/>
      <c r="AF63" s="30"/>
      <c r="AG63" s="30"/>
      <c r="AH63" s="63"/>
      <c r="AI63" s="30"/>
      <c r="AJ63" s="30"/>
      <c r="AK63" s="30"/>
      <c r="AL63" s="30">
        <f t="shared" si="12"/>
        <v>677</v>
      </c>
      <c r="AM63" s="49"/>
      <c r="AN63" s="37"/>
      <c r="AO63" s="37"/>
      <c r="AP63" s="37"/>
      <c r="AQ63" s="37"/>
      <c r="AR63" s="37"/>
      <c r="AS63" s="37"/>
      <c r="AT63" s="37"/>
    </row>
    <row r="64" spans="1:46">
      <c r="A64" s="30">
        <v>9</v>
      </c>
      <c r="B64" s="30">
        <v>41</v>
      </c>
      <c r="C64" s="30">
        <v>2</v>
      </c>
      <c r="D64" s="30">
        <v>2</v>
      </c>
      <c r="E64" s="30"/>
      <c r="F64" s="30"/>
      <c r="G64" s="30"/>
      <c r="H64" s="28">
        <v>41207</v>
      </c>
      <c r="I64" s="30">
        <v>2</v>
      </c>
      <c r="J64" s="30">
        <v>2</v>
      </c>
      <c r="K64" s="30"/>
      <c r="L64" s="30">
        <v>1</v>
      </c>
      <c r="M64" s="30"/>
      <c r="N64" s="29">
        <v>1</v>
      </c>
      <c r="O64" s="29"/>
      <c r="P64" s="30"/>
      <c r="Q64" s="30"/>
      <c r="R64" s="30">
        <v>1</v>
      </c>
      <c r="S64" s="30">
        <v>0</v>
      </c>
      <c r="T64" s="30"/>
      <c r="U64" s="30"/>
      <c r="V64" s="30"/>
      <c r="W64" s="30"/>
      <c r="X64" s="30"/>
      <c r="Y64" s="64"/>
      <c r="Z64" s="30"/>
      <c r="AA64" s="30"/>
      <c r="AB64" s="30"/>
      <c r="AC64" s="30"/>
      <c r="AD64" s="30"/>
      <c r="AE64" s="30"/>
      <c r="AF64" s="30"/>
      <c r="AG64" s="30"/>
      <c r="AH64" s="63"/>
      <c r="AI64" s="30"/>
      <c r="AJ64" s="30"/>
      <c r="AK64" s="30"/>
      <c r="AL64" s="30">
        <f>DATEDIF(H64,Y18,"d")</f>
        <v>624</v>
      </c>
      <c r="AM64" s="49"/>
      <c r="AN64" s="37"/>
      <c r="AO64" s="37"/>
      <c r="AP64" s="37"/>
      <c r="AQ64" s="37"/>
      <c r="AR64" s="37"/>
      <c r="AS64" s="37"/>
      <c r="AT64" s="37"/>
    </row>
    <row r="65" spans="1:46">
      <c r="A65" s="30">
        <v>10</v>
      </c>
      <c r="B65" s="30">
        <v>50</v>
      </c>
      <c r="C65" s="30">
        <v>2</v>
      </c>
      <c r="D65" s="30">
        <v>2</v>
      </c>
      <c r="E65" s="30"/>
      <c r="F65" s="30"/>
      <c r="G65" s="30"/>
      <c r="H65" s="28">
        <v>40681</v>
      </c>
      <c r="I65" s="30">
        <v>2</v>
      </c>
      <c r="J65" s="30">
        <v>2</v>
      </c>
      <c r="K65" s="30"/>
      <c r="L65" s="30">
        <v>1</v>
      </c>
      <c r="M65" s="30"/>
      <c r="N65" s="29">
        <v>2</v>
      </c>
      <c r="O65" s="29"/>
      <c r="P65" s="30"/>
      <c r="Q65" s="30"/>
      <c r="R65" s="30">
        <v>1</v>
      </c>
      <c r="S65" s="30">
        <v>1</v>
      </c>
      <c r="T65" s="30"/>
      <c r="U65" s="30"/>
      <c r="V65" s="30"/>
      <c r="W65" s="30"/>
      <c r="X65" s="30"/>
      <c r="Y65" s="64"/>
      <c r="Z65" s="30"/>
      <c r="AA65" s="30"/>
      <c r="AB65" s="30"/>
      <c r="AC65" s="30"/>
      <c r="AD65" s="30"/>
      <c r="AE65" s="30"/>
      <c r="AF65" s="30"/>
      <c r="AG65" s="30"/>
      <c r="AH65" s="63"/>
      <c r="AI65" s="30"/>
      <c r="AJ65" s="30"/>
      <c r="AK65" s="30"/>
      <c r="AL65" s="30">
        <f t="shared" si="12"/>
        <v>1174</v>
      </c>
      <c r="AM65" s="49"/>
      <c r="AN65" s="37"/>
      <c r="AO65" s="37"/>
      <c r="AP65" s="37"/>
      <c r="AQ65" s="37"/>
      <c r="AR65" s="37"/>
      <c r="AS65" s="37"/>
      <c r="AT65" s="37"/>
    </row>
    <row r="66" spans="1:46">
      <c r="A66" s="68" t="s">
        <v>42</v>
      </c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30">
        <f>MEDIAN(AL56:AL65)</f>
        <v>907</v>
      </c>
      <c r="AM66" s="49"/>
      <c r="AN66" s="37"/>
      <c r="AO66" s="37"/>
      <c r="AP66" s="37"/>
      <c r="AQ66" s="37"/>
      <c r="AR66" s="37"/>
      <c r="AS66" s="37"/>
      <c r="AT66" s="37"/>
    </row>
    <row r="67" spans="1:46">
      <c r="A67" s="30">
        <v>1</v>
      </c>
      <c r="B67" s="30">
        <v>50</v>
      </c>
      <c r="C67" s="29">
        <v>2</v>
      </c>
      <c r="D67" s="29">
        <v>2</v>
      </c>
      <c r="E67" s="30"/>
      <c r="F67" s="30"/>
      <c r="G67" s="30"/>
      <c r="H67" s="28">
        <v>37651</v>
      </c>
      <c r="I67" s="30">
        <v>2</v>
      </c>
      <c r="J67" s="30">
        <v>1</v>
      </c>
      <c r="K67" s="30"/>
      <c r="L67" s="30">
        <v>1</v>
      </c>
      <c r="M67" s="30"/>
      <c r="N67" s="29">
        <v>2</v>
      </c>
      <c r="O67" s="29"/>
      <c r="P67" s="30"/>
      <c r="Q67" s="30"/>
      <c r="R67" s="30">
        <v>0</v>
      </c>
      <c r="S67" s="30">
        <v>1</v>
      </c>
      <c r="T67" s="30"/>
      <c r="U67" s="30"/>
      <c r="V67" s="28">
        <v>38954</v>
      </c>
      <c r="W67" s="28"/>
      <c r="X67" s="30"/>
      <c r="Y67" s="64"/>
      <c r="Z67" s="30"/>
      <c r="AA67" s="30"/>
      <c r="AB67" s="30"/>
      <c r="AC67" s="30"/>
      <c r="AD67" s="30"/>
      <c r="AE67" s="30"/>
      <c r="AF67" s="30"/>
      <c r="AG67" s="30"/>
      <c r="AH67" s="28">
        <v>39939</v>
      </c>
      <c r="AI67" s="30"/>
      <c r="AJ67" s="30"/>
      <c r="AK67" s="30"/>
      <c r="AL67" s="49"/>
      <c r="AM67" s="49">
        <f>DATEDIF(H67,V67,"d")</f>
        <v>1303</v>
      </c>
      <c r="AN67" s="37"/>
      <c r="AO67" s="37"/>
      <c r="AP67" s="37"/>
      <c r="AQ67" s="37"/>
      <c r="AR67" s="37"/>
      <c r="AS67" s="37"/>
      <c r="AT67" s="37"/>
    </row>
    <row r="68" spans="1:46">
      <c r="A68" s="30">
        <v>2</v>
      </c>
      <c r="B68" s="30">
        <v>54</v>
      </c>
      <c r="C68" s="29">
        <v>1</v>
      </c>
      <c r="D68" s="29">
        <v>1</v>
      </c>
      <c r="E68" s="30"/>
      <c r="F68" s="30"/>
      <c r="G68" s="30"/>
      <c r="H68" s="28">
        <v>37904</v>
      </c>
      <c r="I68" s="30">
        <v>2</v>
      </c>
      <c r="J68" s="30">
        <v>1</v>
      </c>
      <c r="K68" s="30"/>
      <c r="L68" s="30">
        <v>1</v>
      </c>
      <c r="M68" s="30"/>
      <c r="N68" s="29">
        <v>2</v>
      </c>
      <c r="O68" s="29"/>
      <c r="P68" s="30"/>
      <c r="Q68" s="30"/>
      <c r="R68" s="30">
        <v>1</v>
      </c>
      <c r="S68" s="30">
        <v>0</v>
      </c>
      <c r="T68" s="30"/>
      <c r="U68" s="30"/>
      <c r="V68" s="28">
        <v>40548</v>
      </c>
      <c r="W68" s="28"/>
      <c r="X68" s="30"/>
      <c r="Y68" s="64"/>
      <c r="Z68" s="30"/>
      <c r="AA68" s="30"/>
      <c r="AB68" s="30"/>
      <c r="AC68" s="30"/>
      <c r="AD68" s="30"/>
      <c r="AE68" s="30"/>
      <c r="AF68" s="30"/>
      <c r="AG68" s="30"/>
      <c r="AH68" s="28">
        <v>40576</v>
      </c>
      <c r="AI68" s="30"/>
      <c r="AJ68" s="30"/>
      <c r="AK68" s="30"/>
      <c r="AL68" s="49"/>
      <c r="AM68" s="49">
        <f>DATEDIF(H68,V68,"d")</f>
        <v>2644</v>
      </c>
      <c r="AN68" s="37"/>
      <c r="AO68" s="37"/>
      <c r="AP68" s="37"/>
      <c r="AQ68" s="37"/>
      <c r="AR68" s="37"/>
      <c r="AS68" s="37"/>
      <c r="AT68" s="37"/>
    </row>
    <row r="69" spans="1:46">
      <c r="A69" s="30">
        <v>3</v>
      </c>
      <c r="B69" s="30">
        <v>58</v>
      </c>
      <c r="C69" s="29">
        <v>2</v>
      </c>
      <c r="D69" s="29">
        <v>1</v>
      </c>
      <c r="E69" s="30"/>
      <c r="F69" s="30"/>
      <c r="G69" s="30"/>
      <c r="H69" s="28">
        <v>40913</v>
      </c>
      <c r="I69" s="30">
        <v>2</v>
      </c>
      <c r="J69" s="30">
        <v>1</v>
      </c>
      <c r="K69" s="30"/>
      <c r="L69" s="30">
        <v>1</v>
      </c>
      <c r="M69" s="30"/>
      <c r="N69" s="29">
        <v>2</v>
      </c>
      <c r="O69" s="29"/>
      <c r="P69" s="30"/>
      <c r="Q69" s="30"/>
      <c r="R69" s="29">
        <v>0</v>
      </c>
      <c r="S69" s="30">
        <v>0</v>
      </c>
      <c r="T69" s="30"/>
      <c r="U69" s="30"/>
      <c r="V69" s="28">
        <v>42159</v>
      </c>
      <c r="W69" s="28"/>
      <c r="X69" s="30"/>
      <c r="Y69" s="64"/>
      <c r="Z69" s="30"/>
      <c r="AA69" s="30"/>
      <c r="AB69" s="30"/>
      <c r="AC69" s="30"/>
      <c r="AD69" s="30"/>
      <c r="AE69" s="30"/>
      <c r="AF69" s="30"/>
      <c r="AG69" s="30"/>
      <c r="AH69" s="28">
        <v>43248</v>
      </c>
      <c r="AI69" s="30"/>
      <c r="AJ69" s="30"/>
      <c r="AK69" s="30"/>
      <c r="AL69" s="49"/>
      <c r="AM69" s="49">
        <f t="shared" ref="AM69:AM74" si="13">DATEDIF(H69,V69,"d")</f>
        <v>1246</v>
      </c>
      <c r="AN69" s="37"/>
      <c r="AO69" s="37"/>
      <c r="AP69" s="37"/>
      <c r="AQ69" s="37"/>
      <c r="AR69" s="37"/>
      <c r="AS69" s="37"/>
      <c r="AT69" s="37"/>
    </row>
    <row r="70" spans="1:46">
      <c r="A70" s="30">
        <v>4</v>
      </c>
      <c r="B70" s="30">
        <v>55</v>
      </c>
      <c r="C70" s="29">
        <v>1</v>
      </c>
      <c r="D70" s="29">
        <v>1</v>
      </c>
      <c r="E70" s="30"/>
      <c r="F70" s="30"/>
      <c r="G70" s="30"/>
      <c r="H70" s="28">
        <v>41439</v>
      </c>
      <c r="I70" s="30">
        <v>2</v>
      </c>
      <c r="J70" s="30">
        <v>2</v>
      </c>
      <c r="K70" s="30"/>
      <c r="L70" s="30">
        <v>1</v>
      </c>
      <c r="M70" s="30"/>
      <c r="N70" s="29">
        <v>2</v>
      </c>
      <c r="O70" s="29"/>
      <c r="P70" s="30"/>
      <c r="Q70" s="30"/>
      <c r="R70" s="29">
        <v>0</v>
      </c>
      <c r="S70" s="30">
        <v>0</v>
      </c>
      <c r="T70" s="30"/>
      <c r="U70" s="30"/>
      <c r="V70" s="28">
        <v>42222</v>
      </c>
      <c r="W70" s="28"/>
      <c r="X70" s="30"/>
      <c r="Y70" s="64"/>
      <c r="Z70" s="30"/>
      <c r="AA70" s="30"/>
      <c r="AB70" s="30"/>
      <c r="AC70" s="30"/>
      <c r="AD70" s="30"/>
      <c r="AE70" s="30"/>
      <c r="AF70" s="30"/>
      <c r="AG70" s="30"/>
      <c r="AH70" s="28">
        <v>42502</v>
      </c>
      <c r="AI70" s="30"/>
      <c r="AJ70" s="30"/>
      <c r="AK70" s="30"/>
      <c r="AL70" s="49"/>
      <c r="AM70" s="49">
        <f t="shared" si="13"/>
        <v>783</v>
      </c>
      <c r="AN70" s="37"/>
      <c r="AO70" s="37"/>
      <c r="AP70" s="37"/>
      <c r="AQ70" s="37"/>
      <c r="AR70" s="37"/>
      <c r="AS70" s="37"/>
      <c r="AT70" s="37"/>
    </row>
    <row r="71" spans="1:46">
      <c r="A71" s="30">
        <v>5</v>
      </c>
      <c r="B71" s="30">
        <v>45</v>
      </c>
      <c r="C71" s="29">
        <v>2</v>
      </c>
      <c r="D71" s="29">
        <v>2</v>
      </c>
      <c r="E71" s="30"/>
      <c r="F71" s="30"/>
      <c r="G71" s="30"/>
      <c r="H71" s="28">
        <v>40207</v>
      </c>
      <c r="I71" s="30">
        <v>2</v>
      </c>
      <c r="J71" s="30">
        <v>1</v>
      </c>
      <c r="K71" s="30"/>
      <c r="L71" s="30">
        <v>1</v>
      </c>
      <c r="M71" s="30"/>
      <c r="N71" s="29">
        <v>2</v>
      </c>
      <c r="O71" s="29"/>
      <c r="P71" s="30"/>
      <c r="Q71" s="30"/>
      <c r="R71" s="29">
        <v>0</v>
      </c>
      <c r="S71" s="30">
        <v>0</v>
      </c>
      <c r="T71" s="30"/>
      <c r="U71" s="30"/>
      <c r="V71" s="28">
        <v>40725</v>
      </c>
      <c r="W71" s="28"/>
      <c r="X71" s="30"/>
      <c r="Y71" s="64"/>
      <c r="Z71" s="30"/>
      <c r="AA71" s="30"/>
      <c r="AB71" s="30"/>
      <c r="AC71" s="30"/>
      <c r="AD71" s="30"/>
      <c r="AE71" s="30"/>
      <c r="AF71" s="30"/>
      <c r="AG71" s="30"/>
      <c r="AH71" s="49" t="s">
        <v>13</v>
      </c>
      <c r="AI71" s="30"/>
      <c r="AJ71" s="30"/>
      <c r="AK71" s="30"/>
      <c r="AL71" s="49"/>
      <c r="AM71" s="49">
        <f t="shared" si="13"/>
        <v>518</v>
      </c>
      <c r="AN71" s="37"/>
      <c r="AO71" s="37"/>
      <c r="AP71" s="37"/>
      <c r="AQ71" s="37"/>
      <c r="AR71" s="37"/>
      <c r="AS71" s="37"/>
      <c r="AT71" s="37"/>
    </row>
    <row r="72" spans="1:46">
      <c r="A72" s="30">
        <v>6</v>
      </c>
      <c r="B72" s="30">
        <v>74</v>
      </c>
      <c r="C72" s="29">
        <v>1</v>
      </c>
      <c r="D72" s="29">
        <v>2</v>
      </c>
      <c r="E72" s="30"/>
      <c r="F72" s="30"/>
      <c r="G72" s="30"/>
      <c r="H72" s="28">
        <v>40575</v>
      </c>
      <c r="I72" s="30">
        <v>2</v>
      </c>
      <c r="J72" s="30">
        <v>2</v>
      </c>
      <c r="K72" s="30"/>
      <c r="L72" s="30">
        <v>1</v>
      </c>
      <c r="M72" s="30"/>
      <c r="N72" s="29">
        <v>2</v>
      </c>
      <c r="O72" s="29"/>
      <c r="P72" s="30"/>
      <c r="Q72" s="30"/>
      <c r="R72" s="29">
        <v>0</v>
      </c>
      <c r="S72" s="30">
        <v>0</v>
      </c>
      <c r="T72" s="30"/>
      <c r="U72" s="30"/>
      <c r="V72" s="28">
        <v>41583</v>
      </c>
      <c r="W72" s="28"/>
      <c r="X72" s="30"/>
      <c r="Y72" s="64"/>
      <c r="Z72" s="30"/>
      <c r="AA72" s="30"/>
      <c r="AB72" s="30"/>
      <c r="AC72" s="30"/>
      <c r="AD72" s="30"/>
      <c r="AE72" s="30"/>
      <c r="AF72" s="30"/>
      <c r="AG72" s="30"/>
      <c r="AH72" s="49" t="s">
        <v>13</v>
      </c>
      <c r="AI72" s="30"/>
      <c r="AJ72" s="30"/>
      <c r="AK72" s="30"/>
      <c r="AL72" s="49"/>
      <c r="AM72" s="49">
        <f t="shared" si="13"/>
        <v>1008</v>
      </c>
      <c r="AN72" s="37"/>
      <c r="AO72" s="37"/>
      <c r="AP72" s="37"/>
      <c r="AQ72" s="37"/>
      <c r="AR72" s="37"/>
      <c r="AS72" s="37"/>
      <c r="AT72" s="37"/>
    </row>
    <row r="73" spans="1:46">
      <c r="A73" s="30">
        <v>7</v>
      </c>
      <c r="B73" s="30">
        <v>55</v>
      </c>
      <c r="C73" s="29">
        <v>1</v>
      </c>
      <c r="D73" s="29">
        <v>1</v>
      </c>
      <c r="E73" s="30"/>
      <c r="F73" s="30"/>
      <c r="G73" s="30"/>
      <c r="H73" s="28">
        <v>41059</v>
      </c>
      <c r="I73" s="30">
        <v>2</v>
      </c>
      <c r="J73" s="30">
        <v>1</v>
      </c>
      <c r="K73" s="30"/>
      <c r="L73" s="30">
        <v>1</v>
      </c>
      <c r="M73" s="30"/>
      <c r="N73" s="29">
        <v>2</v>
      </c>
      <c r="O73" s="29"/>
      <c r="P73" s="30"/>
      <c r="Q73" s="30"/>
      <c r="R73" s="29">
        <v>1</v>
      </c>
      <c r="S73" s="30">
        <v>0</v>
      </c>
      <c r="T73" s="30"/>
      <c r="U73" s="30"/>
      <c r="V73" s="28">
        <v>41472</v>
      </c>
      <c r="W73" s="28"/>
      <c r="X73" s="30"/>
      <c r="Y73" s="64"/>
      <c r="Z73" s="30"/>
      <c r="AA73" s="30"/>
      <c r="AB73" s="30"/>
      <c r="AC73" s="30"/>
      <c r="AD73" s="30"/>
      <c r="AE73" s="30"/>
      <c r="AF73" s="30"/>
      <c r="AG73" s="30"/>
      <c r="AH73" s="28">
        <v>42846</v>
      </c>
      <c r="AI73" s="30"/>
      <c r="AJ73" s="30"/>
      <c r="AK73" s="30"/>
      <c r="AL73" s="49"/>
      <c r="AM73" s="49">
        <f t="shared" si="13"/>
        <v>413</v>
      </c>
      <c r="AN73" s="37"/>
      <c r="AO73" s="37"/>
      <c r="AP73" s="37"/>
      <c r="AQ73" s="37"/>
      <c r="AR73" s="37"/>
      <c r="AS73" s="37"/>
      <c r="AT73" s="37"/>
    </row>
    <row r="74" spans="1:46">
      <c r="A74" s="30">
        <v>8</v>
      </c>
      <c r="B74" s="30">
        <v>25</v>
      </c>
      <c r="C74" s="29">
        <v>2</v>
      </c>
      <c r="D74" s="29">
        <v>2</v>
      </c>
      <c r="E74" s="30"/>
      <c r="F74" s="30"/>
      <c r="G74" s="30"/>
      <c r="H74" s="28">
        <v>41296</v>
      </c>
      <c r="I74" s="30">
        <v>2</v>
      </c>
      <c r="J74" s="30">
        <v>2</v>
      </c>
      <c r="K74" s="30"/>
      <c r="L74" s="30">
        <v>1</v>
      </c>
      <c r="M74" s="30"/>
      <c r="N74" s="29">
        <v>1</v>
      </c>
      <c r="O74" s="29"/>
      <c r="P74" s="30"/>
      <c r="Q74" s="30"/>
      <c r="R74" s="29">
        <v>1</v>
      </c>
      <c r="S74" s="30">
        <v>1</v>
      </c>
      <c r="T74" s="30"/>
      <c r="U74" s="30"/>
      <c r="V74" s="28">
        <v>42587</v>
      </c>
      <c r="W74" s="28"/>
      <c r="X74" s="30"/>
      <c r="Y74" s="64"/>
      <c r="Z74" s="30"/>
      <c r="AA74" s="30"/>
      <c r="AB74" s="30"/>
      <c r="AC74" s="30"/>
      <c r="AD74" s="30"/>
      <c r="AE74" s="30"/>
      <c r="AF74" s="30"/>
      <c r="AG74" s="30"/>
      <c r="AH74" s="49" t="s">
        <v>13</v>
      </c>
      <c r="AI74" s="30"/>
      <c r="AJ74" s="30"/>
      <c r="AK74" s="30"/>
      <c r="AL74" s="49"/>
      <c r="AM74" s="49">
        <f t="shared" si="13"/>
        <v>1291</v>
      </c>
      <c r="AN74" s="37"/>
      <c r="AO74" s="37"/>
      <c r="AP74" s="37"/>
      <c r="AQ74" s="37"/>
      <c r="AR74" s="37"/>
      <c r="AS74" s="37"/>
      <c r="AT74" s="37"/>
    </row>
    <row r="75" spans="1:46">
      <c r="A75" s="30">
        <v>9</v>
      </c>
      <c r="B75" s="30">
        <v>44</v>
      </c>
      <c r="C75" s="29">
        <v>2</v>
      </c>
      <c r="D75" s="29">
        <v>2</v>
      </c>
      <c r="E75" s="30"/>
      <c r="F75" s="30"/>
      <c r="G75" s="30"/>
      <c r="H75" s="28">
        <v>41913</v>
      </c>
      <c r="I75" s="30">
        <v>2</v>
      </c>
      <c r="J75" s="30">
        <v>2</v>
      </c>
      <c r="K75" s="30"/>
      <c r="L75" s="30">
        <v>1</v>
      </c>
      <c r="M75" s="30"/>
      <c r="N75" s="29">
        <v>1</v>
      </c>
      <c r="O75" s="29"/>
      <c r="P75" s="30"/>
      <c r="Q75" s="30"/>
      <c r="R75" s="29">
        <v>0</v>
      </c>
      <c r="S75" s="30">
        <v>0</v>
      </c>
      <c r="T75" s="30"/>
      <c r="U75" s="30"/>
      <c r="V75" s="28">
        <v>42718</v>
      </c>
      <c r="W75" s="28"/>
      <c r="X75" s="30"/>
      <c r="Y75" s="64"/>
      <c r="Z75" s="30"/>
      <c r="AA75" s="30"/>
      <c r="AB75" s="30"/>
      <c r="AC75" s="30"/>
      <c r="AD75" s="30"/>
      <c r="AE75" s="30"/>
      <c r="AF75" s="30"/>
      <c r="AG75" s="30"/>
      <c r="AH75" s="49" t="s">
        <v>13</v>
      </c>
      <c r="AI75" s="30"/>
      <c r="AJ75" s="30"/>
      <c r="AK75" s="30"/>
      <c r="AL75" s="49"/>
      <c r="AM75" s="49">
        <f>DATEDIF(H75,V75,"d")</f>
        <v>805</v>
      </c>
      <c r="AN75" s="37"/>
      <c r="AO75" s="37"/>
      <c r="AP75" s="37"/>
      <c r="AQ75" s="37"/>
      <c r="AR75" s="37"/>
      <c r="AS75" s="37"/>
      <c r="AT75" s="37"/>
    </row>
    <row r="76" spans="1:46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63"/>
      <c r="AI76" s="30"/>
      <c r="AJ76" s="30"/>
      <c r="AK76" s="30"/>
      <c r="AL76" s="49"/>
      <c r="AM76" s="49"/>
      <c r="AN76" s="37"/>
      <c r="AO76" s="37"/>
      <c r="AP76" s="37"/>
      <c r="AQ76" s="37"/>
      <c r="AR76" s="37"/>
      <c r="AS76" s="37"/>
      <c r="AT76" s="37"/>
    </row>
    <row r="77" spans="1:46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63"/>
      <c r="AI77" s="30"/>
      <c r="AJ77" s="30"/>
      <c r="AK77" s="30"/>
      <c r="AL77" s="49"/>
      <c r="AM77" s="49"/>
    </row>
    <row r="78" spans="1:46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63"/>
      <c r="AI78" s="30"/>
      <c r="AJ78" s="30"/>
      <c r="AK78" s="30"/>
      <c r="AL78" s="49"/>
      <c r="AM78" s="49"/>
    </row>
    <row r="79" spans="1:46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63"/>
      <c r="AI79" s="30"/>
      <c r="AJ79" s="30"/>
      <c r="AK79" s="30"/>
      <c r="AL79" s="49"/>
      <c r="AM79" s="49"/>
    </row>
    <row r="80" spans="1:46">
      <c r="A80" s="30"/>
      <c r="B80" s="30"/>
      <c r="C80" s="30"/>
      <c r="D80" s="30"/>
      <c r="E80" s="52"/>
      <c r="F80" s="52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63"/>
      <c r="AI80" s="30"/>
      <c r="AJ80" s="30"/>
      <c r="AK80" s="30"/>
      <c r="AL80" s="49"/>
      <c r="AM80" s="49"/>
    </row>
    <row r="81" spans="1:39">
      <c r="A81" s="30"/>
      <c r="B81" s="30"/>
      <c r="C81" s="30"/>
      <c r="D81" s="30"/>
      <c r="E81" s="3"/>
      <c r="F81" s="3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63"/>
      <c r="AI81" s="30"/>
      <c r="AJ81" s="30"/>
      <c r="AK81" s="30"/>
      <c r="AL81" s="49"/>
      <c r="AM81" s="49"/>
    </row>
    <row r="82" spans="1:39">
      <c r="A82" s="30"/>
      <c r="B82" s="30"/>
      <c r="C82" s="30"/>
      <c r="D82" s="30"/>
      <c r="E82" s="3"/>
      <c r="F82" s="3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63"/>
      <c r="AI82" s="30"/>
      <c r="AJ82" s="30"/>
      <c r="AK82" s="30"/>
      <c r="AL82" s="49"/>
      <c r="AM82" s="49"/>
    </row>
    <row r="83" spans="1:39">
      <c r="A83" s="30"/>
      <c r="B83" s="30"/>
      <c r="C83" s="30"/>
      <c r="D83" s="30"/>
      <c r="E83" s="3"/>
      <c r="F83" s="3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63"/>
      <c r="AI83" s="30"/>
      <c r="AJ83" s="30"/>
      <c r="AK83" s="30"/>
      <c r="AL83" s="49"/>
      <c r="AM83" s="49"/>
    </row>
    <row r="84" spans="1:39">
      <c r="A84" s="30"/>
      <c r="B84" s="30"/>
      <c r="C84" s="30"/>
      <c r="D84" s="30"/>
      <c r="E84" s="3"/>
      <c r="F84" s="3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63"/>
      <c r="AI84" s="30"/>
      <c r="AJ84" s="30"/>
      <c r="AK84" s="30"/>
      <c r="AL84" s="49"/>
      <c r="AM84" s="49"/>
    </row>
    <row r="85" spans="1:39">
      <c r="A85" s="30"/>
      <c r="B85" s="30"/>
      <c r="C85" s="30"/>
      <c r="D85" s="30"/>
      <c r="E85" s="3"/>
      <c r="F85" s="3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63"/>
      <c r="AI85" s="30"/>
      <c r="AJ85" s="30"/>
      <c r="AK85" s="30"/>
      <c r="AL85" s="49"/>
      <c r="AM85" s="49"/>
    </row>
    <row r="86" spans="1:39">
      <c r="A86" s="30"/>
      <c r="B86" s="30"/>
      <c r="C86" s="30"/>
      <c r="D86" s="30"/>
      <c r="E86" s="3"/>
      <c r="F86" s="3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63"/>
      <c r="AI86" s="30"/>
      <c r="AJ86" s="30"/>
      <c r="AK86" s="30"/>
      <c r="AL86" s="49"/>
      <c r="AM86" s="49"/>
    </row>
    <row r="87" spans="1:39">
      <c r="A87" s="30"/>
      <c r="B87" s="30"/>
      <c r="C87" s="30"/>
      <c r="D87" s="30"/>
      <c r="E87" s="7"/>
      <c r="F87" s="58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63"/>
      <c r="AI87" s="30"/>
      <c r="AJ87" s="30"/>
      <c r="AK87" s="30"/>
      <c r="AL87" s="49"/>
      <c r="AM87" s="49"/>
    </row>
    <row r="88" spans="1:39">
      <c r="A88" s="30"/>
      <c r="B88" s="30"/>
      <c r="C88" s="30"/>
      <c r="D88" s="30"/>
      <c r="E88" s="3"/>
      <c r="F88" s="3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63"/>
      <c r="AI88" s="30"/>
      <c r="AJ88" s="30"/>
      <c r="AK88" s="30"/>
      <c r="AL88" s="49"/>
      <c r="AM88" s="49"/>
    </row>
    <row r="89" spans="1:39">
      <c r="A89" s="30"/>
      <c r="B89" s="30"/>
      <c r="C89" s="30"/>
      <c r="D89" s="30"/>
      <c r="E89" s="3"/>
      <c r="F89" s="3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63"/>
      <c r="AI89" s="30"/>
      <c r="AJ89" s="30"/>
      <c r="AK89" s="30"/>
      <c r="AL89" s="49"/>
      <c r="AM89" s="49"/>
    </row>
    <row r="90" spans="1:39">
      <c r="A90" s="30"/>
      <c r="B90" s="30"/>
      <c r="C90" s="30"/>
      <c r="D90" s="30"/>
      <c r="E90" s="3"/>
      <c r="F90" s="3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63"/>
      <c r="AI90" s="30"/>
      <c r="AJ90" s="30"/>
      <c r="AK90" s="30"/>
      <c r="AL90" s="49"/>
      <c r="AM90" s="49"/>
    </row>
    <row r="91" spans="1:39">
      <c r="A91" s="30"/>
      <c r="B91" s="30"/>
      <c r="C91" s="30"/>
      <c r="D91" s="30"/>
      <c r="E91" s="3"/>
      <c r="F91" s="3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63"/>
      <c r="AI91" s="30"/>
      <c r="AJ91" s="30"/>
      <c r="AK91" s="30"/>
      <c r="AL91" s="49"/>
      <c r="AM91" s="49"/>
    </row>
    <row r="92" spans="1:39">
      <c r="A92" s="30"/>
      <c r="B92" s="30"/>
      <c r="C92" s="30"/>
      <c r="D92" s="30"/>
      <c r="E92" s="3"/>
      <c r="F92" s="3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63"/>
      <c r="AI92" s="30"/>
      <c r="AJ92" s="30"/>
      <c r="AK92" s="30"/>
      <c r="AL92" s="49"/>
      <c r="AM92" s="49"/>
    </row>
    <row r="93" spans="1:39">
      <c r="A93" s="30"/>
      <c r="B93" s="30"/>
      <c r="C93" s="30"/>
      <c r="D93" s="30"/>
      <c r="E93" s="3"/>
      <c r="F93" s="3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63"/>
      <c r="AI93" s="30"/>
      <c r="AJ93" s="30"/>
      <c r="AK93" s="30"/>
      <c r="AL93" s="49"/>
      <c r="AM93" s="49"/>
    </row>
    <row r="94" spans="1:39">
      <c r="A94" s="30"/>
      <c r="B94" s="30"/>
      <c r="C94" s="30"/>
      <c r="D94" s="30"/>
      <c r="E94" s="3"/>
      <c r="F94" s="3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63"/>
      <c r="AI94" s="30"/>
      <c r="AJ94" s="30"/>
      <c r="AK94" s="30"/>
      <c r="AL94" s="49"/>
      <c r="AM94" s="49"/>
    </row>
    <row r="95" spans="1:39">
      <c r="A95" s="30"/>
      <c r="B95" s="30"/>
      <c r="C95" s="30"/>
      <c r="D95" s="30"/>
      <c r="E95" s="3"/>
      <c r="F95" s="3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63"/>
      <c r="AI95" s="30"/>
      <c r="AJ95" s="30"/>
      <c r="AK95" s="30"/>
      <c r="AL95" s="49"/>
      <c r="AM95" s="49"/>
    </row>
    <row r="96" spans="1:39">
      <c r="A96" s="30"/>
      <c r="B96" s="30"/>
      <c r="C96" s="30"/>
      <c r="D96" s="30"/>
      <c r="E96" s="3"/>
      <c r="F96" s="3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63"/>
      <c r="AI96" s="30"/>
      <c r="AJ96" s="30"/>
      <c r="AK96" s="30"/>
      <c r="AL96" s="49"/>
      <c r="AM96" s="49"/>
    </row>
    <row r="97" spans="1:39">
      <c r="A97" s="30"/>
      <c r="B97" s="30"/>
      <c r="C97" s="30"/>
      <c r="D97" s="30"/>
      <c r="E97" s="3"/>
      <c r="F97" s="3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63"/>
      <c r="AI97" s="30"/>
      <c r="AJ97" s="30"/>
      <c r="AK97" s="30"/>
      <c r="AL97" s="49"/>
      <c r="AM97" s="49"/>
    </row>
    <row r="98" spans="1:39">
      <c r="A98" s="30"/>
      <c r="B98" s="30"/>
      <c r="C98" s="30"/>
      <c r="D98" s="30"/>
      <c r="E98" s="7"/>
      <c r="F98" s="7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63"/>
      <c r="AI98" s="30"/>
      <c r="AJ98" s="30"/>
      <c r="AK98" s="30"/>
      <c r="AL98" s="49"/>
      <c r="AM98" s="49"/>
    </row>
    <row r="99" spans="1:39">
      <c r="A99" s="30"/>
      <c r="B99" s="30"/>
      <c r="C99" s="30"/>
      <c r="D99" s="30"/>
      <c r="E99" s="3"/>
      <c r="F99" s="3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63"/>
      <c r="AI99" s="30"/>
      <c r="AJ99" s="30"/>
      <c r="AK99" s="30"/>
      <c r="AL99" s="49"/>
      <c r="AM99" s="49"/>
    </row>
    <row r="100" spans="1:39">
      <c r="A100" s="30"/>
      <c r="B100" s="30"/>
      <c r="C100" s="30"/>
      <c r="D100" s="30"/>
      <c r="E100" s="3"/>
      <c r="F100" s="3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63"/>
      <c r="AI100" s="30"/>
      <c r="AJ100" s="30"/>
      <c r="AK100" s="30"/>
      <c r="AL100" s="49"/>
      <c r="AM100" s="49"/>
    </row>
    <row r="101" spans="1:39">
      <c r="A101" s="30"/>
      <c r="B101" s="30"/>
      <c r="C101" s="30"/>
      <c r="D101" s="30"/>
      <c r="E101" s="3"/>
      <c r="F101" s="3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63"/>
      <c r="AI101" s="30"/>
      <c r="AJ101" s="30"/>
      <c r="AK101" s="30"/>
      <c r="AL101" s="49"/>
      <c r="AM101" s="49"/>
    </row>
    <row r="102" spans="1:39">
      <c r="A102" s="30"/>
      <c r="B102" s="30"/>
      <c r="C102" s="30"/>
      <c r="D102" s="30"/>
      <c r="E102" s="3"/>
      <c r="F102" s="3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63"/>
      <c r="AI102" s="30"/>
      <c r="AJ102" s="30"/>
      <c r="AK102" s="30"/>
      <c r="AL102" s="49"/>
      <c r="AM102" s="49"/>
    </row>
    <row r="103" spans="1:39">
      <c r="A103" s="30"/>
      <c r="B103" s="30"/>
      <c r="C103" s="30"/>
      <c r="D103" s="30"/>
      <c r="E103" s="3"/>
      <c r="F103" s="3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63"/>
      <c r="AI103" s="30"/>
      <c r="AJ103" s="30"/>
      <c r="AK103" s="30"/>
      <c r="AL103" s="49"/>
      <c r="AM103" s="49"/>
    </row>
    <row r="104" spans="1:39">
      <c r="A104" s="30"/>
      <c r="B104" s="30"/>
      <c r="C104" s="30"/>
      <c r="D104" s="30"/>
      <c r="E104" s="3"/>
      <c r="F104" s="3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63"/>
      <c r="AI104" s="30"/>
      <c r="AJ104" s="30"/>
      <c r="AK104" s="30"/>
      <c r="AL104" s="49"/>
      <c r="AM104" s="49"/>
    </row>
    <row r="105" spans="1:39">
      <c r="A105" s="30"/>
      <c r="B105" s="30"/>
      <c r="C105" s="30"/>
      <c r="D105" s="30"/>
      <c r="E105" s="3"/>
      <c r="F105" s="3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63"/>
      <c r="AI105" s="30"/>
      <c r="AJ105" s="30"/>
      <c r="AK105" s="30"/>
      <c r="AL105" s="49"/>
      <c r="AM105" s="49"/>
    </row>
    <row r="106" spans="1:39">
      <c r="A106" s="30"/>
      <c r="B106" s="30"/>
      <c r="C106" s="30"/>
      <c r="D106" s="30"/>
      <c r="E106" s="3"/>
      <c r="F106" s="3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63"/>
      <c r="AI106" s="30"/>
      <c r="AJ106" s="30"/>
      <c r="AK106" s="30"/>
      <c r="AL106" s="49"/>
      <c r="AM106" s="49"/>
    </row>
    <row r="107" spans="1:39">
      <c r="A107" s="30"/>
      <c r="B107" s="30"/>
      <c r="C107" s="30"/>
      <c r="D107" s="30"/>
      <c r="E107" s="3"/>
      <c r="F107" s="3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63"/>
      <c r="AI107" s="30"/>
      <c r="AJ107" s="30"/>
      <c r="AK107" s="30"/>
      <c r="AL107" s="49"/>
      <c r="AM107" s="49"/>
    </row>
    <row r="108" spans="1:39">
      <c r="A108" s="30"/>
      <c r="B108" s="30"/>
      <c r="C108" s="30"/>
      <c r="D108" s="30"/>
      <c r="E108" s="3"/>
      <c r="F108" s="3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63"/>
      <c r="AI108" s="30"/>
      <c r="AJ108" s="30"/>
      <c r="AK108" s="30"/>
      <c r="AL108" s="49"/>
      <c r="AM108" s="49"/>
    </row>
    <row r="109" spans="1:39">
      <c r="A109" s="30"/>
      <c r="B109" s="30"/>
      <c r="C109" s="30"/>
      <c r="D109" s="30"/>
      <c r="E109" s="3"/>
      <c r="F109" s="3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63"/>
      <c r="AI109" s="30"/>
      <c r="AJ109" s="30"/>
      <c r="AK109" s="30"/>
      <c r="AL109" s="49"/>
      <c r="AM109" s="49"/>
    </row>
    <row r="110" spans="1:39">
      <c r="A110" s="30"/>
      <c r="B110" s="30"/>
      <c r="C110" s="30"/>
      <c r="D110" s="30"/>
      <c r="E110" s="3"/>
      <c r="F110" s="3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63"/>
      <c r="AI110" s="30"/>
      <c r="AJ110" s="30"/>
      <c r="AK110" s="30"/>
      <c r="AL110" s="49"/>
      <c r="AM110" s="49"/>
    </row>
    <row r="111" spans="1:39">
      <c r="A111" s="30"/>
      <c r="B111" s="30"/>
      <c r="C111" s="30"/>
      <c r="D111" s="30"/>
      <c r="E111" s="3"/>
      <c r="F111" s="3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63"/>
      <c r="AI111" s="30"/>
      <c r="AJ111" s="30"/>
      <c r="AK111" s="30"/>
      <c r="AL111" s="49"/>
      <c r="AM111" s="49"/>
    </row>
    <row r="112" spans="1:39">
      <c r="A112" s="30"/>
      <c r="B112" s="30"/>
      <c r="C112" s="30"/>
      <c r="D112" s="30"/>
      <c r="E112" s="3"/>
      <c r="F112" s="3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63"/>
      <c r="AI112" s="30"/>
      <c r="AJ112" s="30"/>
      <c r="AK112" s="30"/>
      <c r="AL112" s="49"/>
      <c r="AM112" s="49"/>
    </row>
    <row r="113" spans="1:39">
      <c r="A113" s="30"/>
      <c r="B113" s="30"/>
      <c r="C113" s="30"/>
      <c r="D113" s="30"/>
      <c r="E113" s="3"/>
      <c r="F113" s="3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63"/>
      <c r="AI113" s="30"/>
      <c r="AJ113" s="30"/>
      <c r="AK113" s="30"/>
      <c r="AL113" s="49"/>
      <c r="AM113" s="49"/>
    </row>
    <row r="114" spans="1:39">
      <c r="A114" s="30"/>
      <c r="B114" s="30"/>
      <c r="C114" s="30"/>
      <c r="D114" s="30"/>
      <c r="E114" s="3"/>
      <c r="F114" s="3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63"/>
      <c r="AI114" s="30"/>
      <c r="AJ114" s="30"/>
      <c r="AK114" s="30"/>
      <c r="AL114" s="49"/>
      <c r="AM114" s="49"/>
    </row>
    <row r="115" spans="1:39">
      <c r="A115" s="30"/>
      <c r="B115" s="30"/>
      <c r="C115" s="30"/>
      <c r="D115" s="30"/>
      <c r="E115" s="3"/>
      <c r="F115" s="3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63"/>
      <c r="AI115" s="30"/>
      <c r="AJ115" s="30"/>
      <c r="AK115" s="30"/>
      <c r="AL115" s="49"/>
      <c r="AM115" s="49"/>
    </row>
    <row r="116" spans="1:39">
      <c r="A116" s="30"/>
      <c r="B116" s="30"/>
      <c r="C116" s="30"/>
      <c r="D116" s="30"/>
      <c r="E116" s="9"/>
      <c r="F116" s="58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63"/>
      <c r="AI116" s="30"/>
      <c r="AJ116" s="30"/>
      <c r="AK116" s="30"/>
      <c r="AL116" s="49"/>
      <c r="AM116" s="49"/>
    </row>
    <row r="117" spans="1:39">
      <c r="A117" s="30"/>
      <c r="B117" s="30"/>
      <c r="C117" s="30"/>
      <c r="D117" s="30"/>
      <c r="E117" s="3"/>
      <c r="F117" s="3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63"/>
      <c r="AI117" s="30"/>
      <c r="AJ117" s="30"/>
      <c r="AK117" s="30"/>
      <c r="AL117" s="49"/>
      <c r="AM117" s="49"/>
    </row>
    <row r="118" spans="1:39">
      <c r="A118" s="30"/>
      <c r="B118" s="30"/>
      <c r="C118" s="30"/>
      <c r="D118" s="30"/>
      <c r="E118" s="3"/>
      <c r="F118" s="3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63"/>
      <c r="AI118" s="30"/>
      <c r="AJ118" s="30"/>
      <c r="AK118" s="30"/>
      <c r="AL118" s="49"/>
      <c r="AM118" s="49"/>
    </row>
    <row r="119" spans="1:39">
      <c r="A119" s="30"/>
      <c r="B119" s="30"/>
      <c r="C119" s="30"/>
      <c r="D119" s="30"/>
      <c r="E119" s="3"/>
      <c r="F119" s="3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63"/>
      <c r="AI119" s="30"/>
      <c r="AJ119" s="30"/>
      <c r="AK119" s="30"/>
      <c r="AL119" s="49"/>
      <c r="AM119" s="49"/>
    </row>
    <row r="120" spans="1:39">
      <c r="A120" s="30"/>
      <c r="B120" s="30"/>
      <c r="C120" s="30"/>
      <c r="D120" s="30"/>
      <c r="E120" s="3"/>
      <c r="F120" s="3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63"/>
      <c r="AI120" s="30"/>
      <c r="AJ120" s="30"/>
      <c r="AK120" s="30"/>
      <c r="AL120" s="49"/>
      <c r="AM120" s="49"/>
    </row>
    <row r="121" spans="1:39">
      <c r="A121" s="30"/>
      <c r="B121" s="30"/>
      <c r="C121" s="30"/>
      <c r="D121" s="30"/>
      <c r="E121" s="3"/>
      <c r="F121" s="3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63"/>
      <c r="AI121" s="30"/>
      <c r="AJ121" s="30"/>
      <c r="AK121" s="30"/>
      <c r="AL121" s="49"/>
      <c r="AM121" s="49"/>
    </row>
    <row r="122" spans="1:39">
      <c r="A122" s="30"/>
      <c r="B122" s="30"/>
      <c r="C122" s="30"/>
      <c r="D122" s="30"/>
      <c r="E122" s="3"/>
      <c r="F122" s="3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63"/>
      <c r="AI122" s="30"/>
      <c r="AJ122" s="30"/>
      <c r="AK122" s="30"/>
      <c r="AL122" s="49"/>
      <c r="AM122" s="49"/>
    </row>
    <row r="123" spans="1:39">
      <c r="A123" s="30"/>
      <c r="B123" s="30"/>
      <c r="C123" s="30"/>
      <c r="D123" s="30"/>
      <c r="E123" s="3"/>
      <c r="F123" s="3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63"/>
      <c r="AI123" s="30"/>
      <c r="AJ123" s="30"/>
      <c r="AK123" s="30"/>
      <c r="AL123" s="49"/>
      <c r="AM123" s="49"/>
    </row>
    <row r="124" spans="1:39">
      <c r="A124" s="30"/>
      <c r="B124" s="30"/>
      <c r="C124" s="30"/>
      <c r="D124" s="30"/>
      <c r="E124" s="3"/>
      <c r="F124" s="3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63"/>
      <c r="AI124" s="30"/>
      <c r="AJ124" s="30"/>
      <c r="AK124" s="30"/>
      <c r="AL124" s="49"/>
      <c r="AM124" s="49"/>
    </row>
    <row r="125" spans="1:39">
      <c r="A125" s="30"/>
      <c r="B125" s="30"/>
      <c r="C125" s="30"/>
      <c r="D125" s="30"/>
      <c r="E125" s="3"/>
      <c r="F125" s="3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63"/>
      <c r="AI125" s="30"/>
      <c r="AJ125" s="30"/>
      <c r="AK125" s="30"/>
      <c r="AL125" s="49"/>
      <c r="AM125" s="49"/>
    </row>
    <row r="126" spans="1:39">
      <c r="A126" s="30"/>
      <c r="B126" s="30"/>
      <c r="C126" s="30"/>
      <c r="D126" s="30"/>
      <c r="E126" s="3"/>
      <c r="F126" s="3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63"/>
      <c r="AI126" s="30"/>
      <c r="AJ126" s="30"/>
      <c r="AK126" s="30"/>
      <c r="AL126" s="49"/>
      <c r="AM126" s="49"/>
    </row>
    <row r="127" spans="1:39">
      <c r="A127" s="30"/>
      <c r="B127" s="30"/>
      <c r="C127" s="30"/>
      <c r="D127" s="30"/>
      <c r="E127" s="3"/>
      <c r="F127" s="3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63"/>
      <c r="AI127" s="30"/>
      <c r="AJ127" s="30"/>
      <c r="AK127" s="30"/>
      <c r="AL127" s="49"/>
      <c r="AM127" s="49"/>
    </row>
    <row r="128" spans="1:39">
      <c r="A128" s="30"/>
      <c r="B128" s="30"/>
      <c r="C128" s="30"/>
      <c r="D128" s="30"/>
      <c r="E128" s="2"/>
      <c r="F128" s="2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63"/>
      <c r="AI128" s="30"/>
      <c r="AJ128" s="30"/>
      <c r="AK128" s="30"/>
      <c r="AL128" s="49"/>
      <c r="AM128" s="49"/>
    </row>
    <row r="129" spans="1:39">
      <c r="A129" s="30"/>
      <c r="B129" s="30"/>
      <c r="C129" s="30"/>
      <c r="D129" s="30"/>
      <c r="E129" s="2"/>
      <c r="F129" s="2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63"/>
      <c r="AI129" s="30"/>
      <c r="AJ129" s="30"/>
      <c r="AK129" s="30"/>
      <c r="AL129" s="49"/>
      <c r="AM129" s="49"/>
    </row>
    <row r="130" spans="1:39">
      <c r="A130" s="30"/>
      <c r="B130" s="30"/>
      <c r="C130" s="30"/>
      <c r="D130" s="30"/>
      <c r="E130" s="2"/>
      <c r="F130" s="2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63"/>
      <c r="AI130" s="30"/>
      <c r="AJ130" s="30"/>
      <c r="AK130" s="30"/>
      <c r="AL130" s="49"/>
      <c r="AM130" s="49"/>
    </row>
    <row r="131" spans="1:39">
      <c r="A131" s="30"/>
      <c r="B131" s="30"/>
      <c r="C131" s="30"/>
      <c r="D131" s="30"/>
      <c r="E131" s="2"/>
      <c r="F131" s="2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63"/>
      <c r="AI131" s="30"/>
      <c r="AJ131" s="30"/>
      <c r="AK131" s="30"/>
      <c r="AL131" s="49"/>
      <c r="AM131" s="49"/>
    </row>
    <row r="132" spans="1:39">
      <c r="A132" s="30"/>
      <c r="B132" s="30"/>
      <c r="C132" s="30"/>
      <c r="D132" s="30"/>
      <c r="E132" s="6"/>
      <c r="F132" s="6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63"/>
      <c r="AI132" s="30"/>
      <c r="AJ132" s="30"/>
      <c r="AK132" s="30"/>
      <c r="AL132" s="49"/>
      <c r="AM132" s="49"/>
    </row>
    <row r="133" spans="1:39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63"/>
      <c r="AI133" s="30"/>
      <c r="AJ133" s="30"/>
      <c r="AK133" s="30"/>
      <c r="AL133" s="49"/>
      <c r="AM133" s="49"/>
    </row>
    <row r="134" spans="1:39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63"/>
      <c r="AI134" s="30"/>
      <c r="AJ134" s="30"/>
      <c r="AK134" s="30"/>
      <c r="AL134" s="49"/>
      <c r="AM134" s="49"/>
    </row>
    <row r="135" spans="1:39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63"/>
      <c r="AI135" s="30"/>
      <c r="AJ135" s="30"/>
      <c r="AK135" s="30"/>
      <c r="AL135" s="49"/>
      <c r="AM135" s="49"/>
    </row>
    <row r="136" spans="1:39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63"/>
      <c r="AI136" s="30"/>
      <c r="AJ136" s="30"/>
      <c r="AK136" s="30"/>
      <c r="AL136" s="49"/>
      <c r="AM136" s="49"/>
    </row>
    <row r="137" spans="1:39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63"/>
      <c r="AI137" s="30"/>
      <c r="AJ137" s="30"/>
      <c r="AK137" s="30"/>
      <c r="AL137" s="49"/>
      <c r="AM137" s="49"/>
    </row>
    <row r="138" spans="1:39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63"/>
      <c r="AI138" s="30"/>
      <c r="AJ138" s="30"/>
      <c r="AK138" s="30"/>
      <c r="AL138" s="49"/>
      <c r="AM138" s="49"/>
    </row>
    <row r="139" spans="1:39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63"/>
      <c r="AI139" s="30"/>
      <c r="AJ139" s="30"/>
      <c r="AK139" s="30"/>
      <c r="AL139" s="49"/>
      <c r="AM139" s="49"/>
    </row>
    <row r="140" spans="1:39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63"/>
      <c r="AI140" s="30"/>
      <c r="AJ140" s="30"/>
      <c r="AK140" s="30"/>
      <c r="AL140" s="49"/>
      <c r="AM140" s="49"/>
    </row>
    <row r="141" spans="1:39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63"/>
      <c r="AI141" s="30"/>
      <c r="AJ141" s="30"/>
      <c r="AK141" s="30"/>
      <c r="AL141" s="49"/>
      <c r="AM141" s="49"/>
    </row>
    <row r="142" spans="1:39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63"/>
      <c r="AI142" s="30"/>
      <c r="AJ142" s="30"/>
      <c r="AK142" s="30"/>
      <c r="AL142" s="49"/>
      <c r="AM142" s="49"/>
    </row>
    <row r="143" spans="1:39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63"/>
      <c r="AI143" s="30"/>
      <c r="AJ143" s="30"/>
      <c r="AK143" s="30"/>
      <c r="AL143" s="49"/>
      <c r="AM143" s="49"/>
    </row>
    <row r="144" spans="1:39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63"/>
      <c r="AI144" s="30"/>
      <c r="AJ144" s="30"/>
      <c r="AK144" s="30"/>
      <c r="AL144" s="49"/>
      <c r="AM144" s="49"/>
    </row>
    <row r="145" spans="1:39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63"/>
      <c r="AI145" s="30"/>
      <c r="AJ145" s="30"/>
      <c r="AK145" s="30"/>
      <c r="AL145" s="49"/>
      <c r="AM145" s="49"/>
    </row>
    <row r="146" spans="1:39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63"/>
      <c r="AI146" s="30"/>
      <c r="AJ146" s="30"/>
      <c r="AK146" s="30"/>
      <c r="AL146" s="49"/>
      <c r="AM146" s="49"/>
    </row>
    <row r="147" spans="1:39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63"/>
      <c r="AI147" s="30"/>
      <c r="AJ147" s="30"/>
      <c r="AK147" s="30"/>
      <c r="AL147" s="49"/>
      <c r="AM147" s="49"/>
    </row>
    <row r="148" spans="1:39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63"/>
      <c r="AI148" s="30"/>
      <c r="AJ148" s="30"/>
      <c r="AK148" s="30"/>
      <c r="AL148" s="49"/>
      <c r="AM148" s="49"/>
    </row>
    <row r="149" spans="1:39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63"/>
      <c r="AI149" s="30"/>
      <c r="AJ149" s="30"/>
      <c r="AK149" s="30"/>
      <c r="AL149" s="49"/>
      <c r="AM149" s="49"/>
    </row>
    <row r="150" spans="1:39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63"/>
      <c r="AI150" s="30"/>
      <c r="AJ150" s="30"/>
      <c r="AK150" s="30"/>
      <c r="AL150" s="49"/>
      <c r="AM150" s="49"/>
    </row>
    <row r="151" spans="1:39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63"/>
      <c r="AI151" s="30"/>
      <c r="AJ151" s="30"/>
      <c r="AK151" s="30"/>
      <c r="AL151" s="49"/>
      <c r="AM151" s="49"/>
    </row>
    <row r="152" spans="1:39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63"/>
      <c r="AI152" s="30"/>
      <c r="AJ152" s="30"/>
      <c r="AK152" s="30"/>
      <c r="AL152" s="49"/>
      <c r="AM152" s="49"/>
    </row>
    <row r="153" spans="1:39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  <c r="AL153" s="49"/>
      <c r="AM153" s="49"/>
    </row>
    <row r="154" spans="1:39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  <c r="AL154" s="49"/>
      <c r="AM154" s="49"/>
    </row>
    <row r="155" spans="1:39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49"/>
      <c r="AM155" s="49"/>
    </row>
    <row r="156" spans="1:39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49"/>
      <c r="AM156" s="49"/>
    </row>
    <row r="157" spans="1:39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</row>
    <row r="158" spans="1:39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</row>
    <row r="159" spans="1:3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</row>
    <row r="160" spans="1:39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</row>
    <row r="161" spans="1:37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</row>
    <row r="162" spans="1:37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</row>
  </sheetData>
  <autoFilter ref="A2:AK75" xr:uid="{00000000-0001-0000-0000-000000000000}"/>
  <mergeCells count="9">
    <mergeCell ref="A55:AK55"/>
    <mergeCell ref="A66:AK66"/>
    <mergeCell ref="Y1:AB1"/>
    <mergeCell ref="AF1:AH1"/>
    <mergeCell ref="H1:U1"/>
    <mergeCell ref="B1:C1"/>
    <mergeCell ref="D1:G1"/>
    <mergeCell ref="V1:X1"/>
    <mergeCell ref="AD1:AE1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4A3C4-938A-45C9-88EB-A715ED9651E2}">
  <dimension ref="A1:C53"/>
  <sheetViews>
    <sheetView topLeftCell="A18" workbookViewId="0">
      <selection activeCell="C2" sqref="C2:C53"/>
    </sheetView>
  </sheetViews>
  <sheetFormatPr baseColWidth="10" defaultRowHeight="14.25"/>
  <sheetData>
    <row r="1" spans="1:3">
      <c r="A1" t="s">
        <v>51</v>
      </c>
      <c r="B1" t="s">
        <v>39</v>
      </c>
      <c r="C1" t="s">
        <v>52</v>
      </c>
    </row>
    <row r="2" spans="1:3">
      <c r="A2" t="s">
        <v>53</v>
      </c>
      <c r="B2" s="66">
        <v>41761</v>
      </c>
      <c r="C2">
        <v>133</v>
      </c>
    </row>
    <row r="3" spans="1:3">
      <c r="A3" s="67">
        <v>41884</v>
      </c>
      <c r="B3" s="66">
        <v>41884</v>
      </c>
      <c r="C3">
        <v>250</v>
      </c>
    </row>
    <row r="4" spans="1:3">
      <c r="A4" t="s">
        <v>13</v>
      </c>
      <c r="B4" s="66">
        <v>41715</v>
      </c>
      <c r="C4">
        <v>61</v>
      </c>
    </row>
    <row r="5" spans="1:3">
      <c r="A5" t="s">
        <v>13</v>
      </c>
      <c r="B5" s="66">
        <v>42544</v>
      </c>
      <c r="C5">
        <v>888</v>
      </c>
    </row>
    <row r="6" spans="1:3">
      <c r="A6" t="s">
        <v>13</v>
      </c>
      <c r="B6" s="66">
        <v>42545</v>
      </c>
      <c r="C6">
        <v>884</v>
      </c>
    </row>
    <row r="7" spans="1:3">
      <c r="A7" s="67">
        <v>41845</v>
      </c>
      <c r="B7" s="66">
        <v>41845</v>
      </c>
      <c r="C7">
        <v>179</v>
      </c>
    </row>
    <row r="8" spans="1:3">
      <c r="A8" t="s">
        <v>54</v>
      </c>
      <c r="B8" t="s">
        <v>54</v>
      </c>
      <c r="C8" t="s">
        <v>54</v>
      </c>
    </row>
    <row r="9" spans="1:3">
      <c r="A9" s="67">
        <v>41918</v>
      </c>
      <c r="B9" s="66">
        <v>41918</v>
      </c>
      <c r="C9">
        <v>203</v>
      </c>
    </row>
    <row r="10" spans="1:3">
      <c r="A10" t="s">
        <v>13</v>
      </c>
      <c r="B10" s="66">
        <v>42458</v>
      </c>
      <c r="C10">
        <v>739</v>
      </c>
    </row>
    <row r="11" spans="1:3">
      <c r="A11" s="67">
        <v>41842</v>
      </c>
      <c r="B11" s="66">
        <v>41842</v>
      </c>
      <c r="C11">
        <v>123</v>
      </c>
    </row>
    <row r="12" spans="1:3">
      <c r="A12" s="67">
        <v>42066</v>
      </c>
      <c r="B12" s="66">
        <v>42066</v>
      </c>
      <c r="C12">
        <v>343</v>
      </c>
    </row>
    <row r="13" spans="1:3">
      <c r="A13" t="s">
        <v>55</v>
      </c>
      <c r="B13" s="66">
        <v>41787</v>
      </c>
      <c r="C13">
        <v>35</v>
      </c>
    </row>
    <row r="14" spans="1:3">
      <c r="A14" s="67">
        <v>41972</v>
      </c>
      <c r="B14" s="66">
        <v>41972</v>
      </c>
      <c r="C14">
        <v>190</v>
      </c>
    </row>
    <row r="15" spans="1:3">
      <c r="A15" s="67">
        <v>41963</v>
      </c>
      <c r="B15" s="66">
        <v>41963</v>
      </c>
      <c r="C15">
        <v>181</v>
      </c>
    </row>
    <row r="16" spans="1:3">
      <c r="A16" s="67">
        <v>41969</v>
      </c>
      <c r="B16" s="66">
        <v>41969</v>
      </c>
      <c r="C16">
        <v>155</v>
      </c>
    </row>
    <row r="17" spans="1:3">
      <c r="A17" t="s">
        <v>56</v>
      </c>
      <c r="B17" s="66">
        <v>42499</v>
      </c>
      <c r="C17">
        <v>668</v>
      </c>
    </row>
    <row r="18" spans="1:3">
      <c r="A18" s="67">
        <v>41908</v>
      </c>
      <c r="B18" s="66">
        <v>41908</v>
      </c>
      <c r="C18">
        <v>53</v>
      </c>
    </row>
    <row r="19" spans="1:3">
      <c r="A19" t="s">
        <v>54</v>
      </c>
      <c r="C19">
        <v>0</v>
      </c>
    </row>
    <row r="20" spans="1:3">
      <c r="A20" t="s">
        <v>57</v>
      </c>
      <c r="B20" s="66">
        <v>42125</v>
      </c>
      <c r="C20">
        <v>203</v>
      </c>
    </row>
    <row r="21" spans="1:3">
      <c r="A21" s="67">
        <v>42091</v>
      </c>
      <c r="B21" s="66">
        <v>42091</v>
      </c>
      <c r="C21">
        <v>150</v>
      </c>
    </row>
    <row r="22" spans="1:3">
      <c r="A22" s="67">
        <v>42093</v>
      </c>
      <c r="B22" s="66">
        <v>42093</v>
      </c>
      <c r="C22">
        <v>98</v>
      </c>
    </row>
    <row r="23" spans="1:3">
      <c r="A23" s="67">
        <v>42094</v>
      </c>
      <c r="B23" s="66">
        <v>42094</v>
      </c>
      <c r="C23">
        <v>85</v>
      </c>
    </row>
    <row r="24" spans="1:3">
      <c r="A24" t="s">
        <v>58</v>
      </c>
      <c r="B24" s="66">
        <v>42475</v>
      </c>
      <c r="C24">
        <v>466</v>
      </c>
    </row>
    <row r="25" spans="1:3">
      <c r="A25" t="s">
        <v>59</v>
      </c>
      <c r="B25" s="66">
        <v>42098</v>
      </c>
      <c r="C25">
        <v>82</v>
      </c>
    </row>
    <row r="26" spans="1:3">
      <c r="A26" t="s">
        <v>60</v>
      </c>
      <c r="B26" s="66">
        <v>42221</v>
      </c>
      <c r="C26">
        <v>202</v>
      </c>
    </row>
    <row r="27" spans="1:3">
      <c r="A27" t="s">
        <v>61</v>
      </c>
      <c r="B27" s="66">
        <v>42108</v>
      </c>
      <c r="C27">
        <v>78</v>
      </c>
    </row>
    <row r="28" spans="1:3">
      <c r="A28" t="s">
        <v>62</v>
      </c>
      <c r="B28" s="66">
        <v>42486</v>
      </c>
      <c r="C28">
        <v>449</v>
      </c>
    </row>
    <row r="29" spans="1:3">
      <c r="A29" t="s">
        <v>63</v>
      </c>
      <c r="B29" s="66">
        <v>42348</v>
      </c>
      <c r="C29">
        <v>309</v>
      </c>
    </row>
    <row r="30" spans="1:3">
      <c r="A30" s="67">
        <v>42377</v>
      </c>
      <c r="B30" s="66">
        <v>42377</v>
      </c>
      <c r="C30">
        <v>315</v>
      </c>
    </row>
    <row r="31" spans="1:3">
      <c r="A31" s="67">
        <v>42443</v>
      </c>
      <c r="B31" s="66">
        <v>42443</v>
      </c>
      <c r="C31">
        <v>369</v>
      </c>
    </row>
    <row r="32" spans="1:3">
      <c r="A32" s="67">
        <v>42087</v>
      </c>
      <c r="B32" s="66">
        <v>42087</v>
      </c>
      <c r="C32">
        <v>13</v>
      </c>
    </row>
    <row r="33" spans="1:3">
      <c r="A33" s="67">
        <v>42378</v>
      </c>
      <c r="B33" s="66">
        <v>42378</v>
      </c>
      <c r="C33">
        <v>303</v>
      </c>
    </row>
    <row r="34" spans="1:3">
      <c r="A34" s="67">
        <v>42213</v>
      </c>
      <c r="B34" s="66">
        <v>42213</v>
      </c>
      <c r="C34">
        <v>89</v>
      </c>
    </row>
    <row r="35" spans="1:3">
      <c r="A35" t="s">
        <v>64</v>
      </c>
      <c r="B35" s="66">
        <v>42480</v>
      </c>
      <c r="C35">
        <v>320</v>
      </c>
    </row>
    <row r="36" spans="1:3">
      <c r="A36" s="67">
        <v>42287</v>
      </c>
      <c r="B36" s="66">
        <v>42287</v>
      </c>
      <c r="C36">
        <v>106</v>
      </c>
    </row>
    <row r="37" spans="1:3">
      <c r="A37" t="s">
        <v>54</v>
      </c>
      <c r="C37">
        <v>0</v>
      </c>
    </row>
    <row r="38" spans="1:3">
      <c r="A38" s="67">
        <v>42456</v>
      </c>
      <c r="B38" s="66">
        <v>42456</v>
      </c>
      <c r="C38">
        <v>251</v>
      </c>
    </row>
    <row r="39" spans="1:3">
      <c r="A39" s="67">
        <v>42543</v>
      </c>
      <c r="B39" s="66">
        <v>42543</v>
      </c>
      <c r="C39">
        <v>324</v>
      </c>
    </row>
    <row r="40" spans="1:3">
      <c r="A40" s="67">
        <v>42643</v>
      </c>
      <c r="B40" s="66">
        <v>42353</v>
      </c>
      <c r="C40">
        <v>134</v>
      </c>
    </row>
    <row r="41" spans="1:3">
      <c r="A41" t="s">
        <v>65</v>
      </c>
      <c r="B41" s="66">
        <v>42403</v>
      </c>
      <c r="C41">
        <v>163</v>
      </c>
    </row>
    <row r="42" spans="1:3">
      <c r="A42" s="67">
        <v>42619</v>
      </c>
      <c r="B42" s="66">
        <v>42502</v>
      </c>
      <c r="C42">
        <v>238</v>
      </c>
    </row>
    <row r="43" spans="1:3">
      <c r="A43" t="s">
        <v>13</v>
      </c>
      <c r="B43" s="66">
        <v>42386</v>
      </c>
      <c r="C43">
        <v>115</v>
      </c>
    </row>
    <row r="44" spans="1:3">
      <c r="A44" t="s">
        <v>66</v>
      </c>
      <c r="B44" s="66">
        <v>42369</v>
      </c>
      <c r="C44">
        <v>59</v>
      </c>
    </row>
    <row r="45" spans="1:3">
      <c r="A45" t="s">
        <v>13</v>
      </c>
      <c r="B45" s="66">
        <v>42583</v>
      </c>
      <c r="C45">
        <v>227</v>
      </c>
    </row>
    <row r="46" spans="1:3">
      <c r="A46" t="s">
        <v>67</v>
      </c>
      <c r="B46" s="66">
        <v>42417</v>
      </c>
      <c r="C46">
        <v>33</v>
      </c>
    </row>
    <row r="47" spans="1:3">
      <c r="A47" t="s">
        <v>13</v>
      </c>
      <c r="B47" s="66">
        <v>42583</v>
      </c>
      <c r="C47">
        <v>196</v>
      </c>
    </row>
    <row r="48" spans="1:3">
      <c r="A48" t="s">
        <v>13</v>
      </c>
      <c r="B48" s="66">
        <v>42537</v>
      </c>
      <c r="C48">
        <v>104</v>
      </c>
    </row>
    <row r="49" spans="1:3">
      <c r="A49" s="67">
        <v>42650</v>
      </c>
      <c r="B49" s="66">
        <v>42538</v>
      </c>
      <c r="C49">
        <v>60</v>
      </c>
    </row>
    <row r="50" spans="1:3">
      <c r="A50" t="s">
        <v>68</v>
      </c>
      <c r="B50" s="66">
        <v>42592</v>
      </c>
      <c r="C50">
        <v>100</v>
      </c>
    </row>
    <row r="51" spans="1:3">
      <c r="A51" t="s">
        <v>13</v>
      </c>
      <c r="B51" s="66">
        <v>42521</v>
      </c>
      <c r="C51">
        <v>22</v>
      </c>
    </row>
    <row r="52" spans="1:3">
      <c r="A52" s="67">
        <v>42747</v>
      </c>
      <c r="B52" s="66">
        <v>42567</v>
      </c>
      <c r="C52">
        <v>65</v>
      </c>
    </row>
    <row r="53" spans="1:3">
      <c r="A53" t="s">
        <v>69</v>
      </c>
      <c r="B53" s="66">
        <v>42567</v>
      </c>
      <c r="C53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Pierre-Yves Sansen</dc:creator>
  <cp:lastModifiedBy>etienne camenen</cp:lastModifiedBy>
  <dcterms:created xsi:type="dcterms:W3CDTF">2025-01-26T12:31:39Z</dcterms:created>
  <dcterms:modified xsi:type="dcterms:W3CDTF">2025-05-26T11:08:01Z</dcterms:modified>
</cp:coreProperties>
</file>